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eamsite.maerskgroup.com/teams/InlandPlatform/Shared Documents/SAP TM Testing/Inland Testing/Monthly Minor Releases/"/>
    </mc:Choice>
  </mc:AlternateContent>
  <xr:revisionPtr revIDLastSave="307" documentId="8_{BF96C2E5-8AEC-4C01-B41F-0B25D9510DB1}" xr6:coauthVersionLast="47" xr6:coauthVersionMax="47" xr10:uidLastSave="{A9F144CD-4E2A-4669-BDB4-624A4184172B}"/>
  <bookViews>
    <workbookView xWindow="-120" yWindow="-120" windowWidth="29040" windowHeight="15720" xr2:uid="{E2E3F7A2-15F7-43BC-8FA6-203E2B664B92}"/>
  </bookViews>
  <sheets>
    <sheet name="XXX Minor 2026" sheetId="1" r:id="rId1"/>
  </sheets>
  <definedNames>
    <definedName name="_xlnm._FilterDatabase" localSheetId="0" hidden="1">'XXX Minor 2026'!$A$1:$S$1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3" i="1" l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T86" i="1" s="1"/>
  <c r="S86" i="1" s="1"/>
  <c r="O85" i="1"/>
  <c r="T85" i="1" s="1"/>
  <c r="S85" i="1" s="1"/>
  <c r="O84" i="1"/>
  <c r="O83" i="1"/>
  <c r="O82" i="1"/>
  <c r="O81" i="1"/>
  <c r="O80" i="1"/>
  <c r="O79" i="1"/>
  <c r="T79" i="1" s="1"/>
  <c r="S79" i="1" s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T55" i="1" s="1"/>
  <c r="S55" i="1" s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T27" i="1" s="1"/>
  <c r="S27" i="1" s="1"/>
  <c r="O26" i="1"/>
  <c r="T26" i="1" s="1"/>
  <c r="S26" i="1" s="1"/>
  <c r="O25" i="1"/>
  <c r="T25" i="1" s="1"/>
  <c r="S25" i="1" s="1"/>
  <c r="O24" i="1"/>
  <c r="O23" i="1"/>
  <c r="O22" i="1"/>
  <c r="O21" i="1"/>
  <c r="O20" i="1"/>
  <c r="O19" i="1"/>
  <c r="T19" i="1" s="1"/>
  <c r="S19" i="1" s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P103" i="1"/>
  <c r="M103" i="1"/>
  <c r="L103" i="1"/>
  <c r="K103" i="1"/>
  <c r="P102" i="1"/>
  <c r="N102" i="1"/>
  <c r="M102" i="1"/>
  <c r="L102" i="1"/>
  <c r="K102" i="1"/>
  <c r="P101" i="1"/>
  <c r="N101" i="1"/>
  <c r="M101" i="1"/>
  <c r="L101" i="1"/>
  <c r="K101" i="1"/>
  <c r="P100" i="1"/>
  <c r="N100" i="1"/>
  <c r="M100" i="1"/>
  <c r="L100" i="1"/>
  <c r="K100" i="1"/>
  <c r="T100" i="1" s="1"/>
  <c r="S100" i="1" s="1"/>
  <c r="P99" i="1"/>
  <c r="N99" i="1"/>
  <c r="M99" i="1"/>
  <c r="L99" i="1"/>
  <c r="K99" i="1"/>
  <c r="P98" i="1"/>
  <c r="N98" i="1"/>
  <c r="M98" i="1"/>
  <c r="L98" i="1"/>
  <c r="K98" i="1"/>
  <c r="P97" i="1"/>
  <c r="N97" i="1"/>
  <c r="M97" i="1"/>
  <c r="L97" i="1"/>
  <c r="K97" i="1"/>
  <c r="P96" i="1"/>
  <c r="N96" i="1"/>
  <c r="M96" i="1"/>
  <c r="L96" i="1"/>
  <c r="K96" i="1"/>
  <c r="T96" i="1" s="1"/>
  <c r="S96" i="1" s="1"/>
  <c r="P95" i="1"/>
  <c r="N95" i="1"/>
  <c r="M95" i="1"/>
  <c r="L95" i="1"/>
  <c r="K95" i="1"/>
  <c r="P94" i="1"/>
  <c r="N94" i="1"/>
  <c r="M94" i="1"/>
  <c r="L94" i="1"/>
  <c r="K94" i="1"/>
  <c r="P93" i="1"/>
  <c r="N93" i="1"/>
  <c r="M93" i="1"/>
  <c r="L93" i="1"/>
  <c r="K93" i="1"/>
  <c r="T93" i="1" s="1"/>
  <c r="S93" i="1" s="1"/>
  <c r="P92" i="1"/>
  <c r="N92" i="1"/>
  <c r="M92" i="1"/>
  <c r="L92" i="1"/>
  <c r="K92" i="1"/>
  <c r="P91" i="1"/>
  <c r="N91" i="1"/>
  <c r="M91" i="1"/>
  <c r="L91" i="1"/>
  <c r="K91" i="1"/>
  <c r="P90" i="1"/>
  <c r="N90" i="1"/>
  <c r="M90" i="1"/>
  <c r="L90" i="1"/>
  <c r="K90" i="1"/>
  <c r="P89" i="1"/>
  <c r="N89" i="1"/>
  <c r="M89" i="1"/>
  <c r="L89" i="1"/>
  <c r="K89" i="1"/>
  <c r="P88" i="1"/>
  <c r="N88" i="1"/>
  <c r="M88" i="1"/>
  <c r="L88" i="1"/>
  <c r="K88" i="1"/>
  <c r="T88" i="1" s="1"/>
  <c r="S88" i="1" s="1"/>
  <c r="P87" i="1"/>
  <c r="N87" i="1"/>
  <c r="M87" i="1"/>
  <c r="L87" i="1"/>
  <c r="K87" i="1"/>
  <c r="P86" i="1"/>
  <c r="N86" i="1"/>
  <c r="M86" i="1"/>
  <c r="L86" i="1"/>
  <c r="K86" i="1"/>
  <c r="P85" i="1"/>
  <c r="N85" i="1"/>
  <c r="M85" i="1"/>
  <c r="L85" i="1"/>
  <c r="K85" i="1"/>
  <c r="P84" i="1"/>
  <c r="N84" i="1"/>
  <c r="M84" i="1"/>
  <c r="L84" i="1"/>
  <c r="K84" i="1"/>
  <c r="T84" i="1" s="1"/>
  <c r="S84" i="1" s="1"/>
  <c r="P83" i="1"/>
  <c r="N83" i="1"/>
  <c r="M83" i="1"/>
  <c r="L83" i="1"/>
  <c r="K83" i="1"/>
  <c r="P82" i="1"/>
  <c r="N82" i="1"/>
  <c r="M82" i="1"/>
  <c r="L82" i="1"/>
  <c r="K82" i="1"/>
  <c r="P81" i="1"/>
  <c r="N81" i="1"/>
  <c r="M81" i="1"/>
  <c r="L81" i="1"/>
  <c r="K81" i="1"/>
  <c r="T81" i="1" s="1"/>
  <c r="S81" i="1" s="1"/>
  <c r="P80" i="1"/>
  <c r="N80" i="1"/>
  <c r="M80" i="1"/>
  <c r="L80" i="1"/>
  <c r="K80" i="1"/>
  <c r="P79" i="1"/>
  <c r="N79" i="1"/>
  <c r="M79" i="1"/>
  <c r="L79" i="1"/>
  <c r="K79" i="1"/>
  <c r="P78" i="1"/>
  <c r="N78" i="1"/>
  <c r="M78" i="1"/>
  <c r="L78" i="1"/>
  <c r="K78" i="1"/>
  <c r="P77" i="1"/>
  <c r="N77" i="1"/>
  <c r="M77" i="1"/>
  <c r="L77" i="1"/>
  <c r="K77" i="1"/>
  <c r="P76" i="1"/>
  <c r="N76" i="1"/>
  <c r="M76" i="1"/>
  <c r="L76" i="1"/>
  <c r="K76" i="1"/>
  <c r="T76" i="1" s="1"/>
  <c r="S76" i="1" s="1"/>
  <c r="P75" i="1"/>
  <c r="N75" i="1"/>
  <c r="M75" i="1"/>
  <c r="L75" i="1"/>
  <c r="K75" i="1"/>
  <c r="P74" i="1"/>
  <c r="N74" i="1"/>
  <c r="M74" i="1"/>
  <c r="L74" i="1"/>
  <c r="K74" i="1"/>
  <c r="P73" i="1"/>
  <c r="N73" i="1"/>
  <c r="M73" i="1"/>
  <c r="L73" i="1"/>
  <c r="K73" i="1"/>
  <c r="P72" i="1"/>
  <c r="N72" i="1"/>
  <c r="M72" i="1"/>
  <c r="L72" i="1"/>
  <c r="K72" i="1"/>
  <c r="T72" i="1" s="1"/>
  <c r="S72" i="1" s="1"/>
  <c r="P71" i="1"/>
  <c r="N71" i="1"/>
  <c r="M71" i="1"/>
  <c r="L71" i="1"/>
  <c r="K71" i="1"/>
  <c r="T71" i="1" s="1"/>
  <c r="S71" i="1" s="1"/>
  <c r="P70" i="1"/>
  <c r="N70" i="1"/>
  <c r="M70" i="1"/>
  <c r="L70" i="1"/>
  <c r="K70" i="1"/>
  <c r="P69" i="1"/>
  <c r="N69" i="1"/>
  <c r="M69" i="1"/>
  <c r="L69" i="1"/>
  <c r="K69" i="1"/>
  <c r="T69" i="1" s="1"/>
  <c r="S69" i="1" s="1"/>
  <c r="P68" i="1"/>
  <c r="N68" i="1"/>
  <c r="M68" i="1"/>
  <c r="L68" i="1"/>
  <c r="K68" i="1"/>
  <c r="P67" i="1"/>
  <c r="N67" i="1"/>
  <c r="M67" i="1"/>
  <c r="L67" i="1"/>
  <c r="K67" i="1"/>
  <c r="P66" i="1"/>
  <c r="N66" i="1"/>
  <c r="M66" i="1"/>
  <c r="L66" i="1"/>
  <c r="K66" i="1"/>
  <c r="P65" i="1"/>
  <c r="N65" i="1"/>
  <c r="M65" i="1"/>
  <c r="L65" i="1"/>
  <c r="K65" i="1"/>
  <c r="P64" i="1"/>
  <c r="N64" i="1"/>
  <c r="M64" i="1"/>
  <c r="L64" i="1"/>
  <c r="K64" i="1"/>
  <c r="T64" i="1" s="1"/>
  <c r="S64" i="1" s="1"/>
  <c r="P63" i="1"/>
  <c r="N63" i="1"/>
  <c r="M63" i="1"/>
  <c r="L63" i="1"/>
  <c r="K63" i="1"/>
  <c r="P62" i="1"/>
  <c r="N62" i="1"/>
  <c r="M62" i="1"/>
  <c r="L62" i="1"/>
  <c r="K62" i="1"/>
  <c r="P61" i="1"/>
  <c r="N61" i="1"/>
  <c r="M61" i="1"/>
  <c r="L61" i="1"/>
  <c r="K61" i="1"/>
  <c r="P60" i="1"/>
  <c r="N60" i="1"/>
  <c r="M60" i="1"/>
  <c r="L60" i="1"/>
  <c r="K60" i="1"/>
  <c r="T60" i="1" s="1"/>
  <c r="S60" i="1" s="1"/>
  <c r="P59" i="1"/>
  <c r="N59" i="1"/>
  <c r="M59" i="1"/>
  <c r="L59" i="1"/>
  <c r="K59" i="1"/>
  <c r="T59" i="1" s="1"/>
  <c r="S59" i="1" s="1"/>
  <c r="P58" i="1"/>
  <c r="N58" i="1"/>
  <c r="M58" i="1"/>
  <c r="L58" i="1"/>
  <c r="K58" i="1"/>
  <c r="P57" i="1"/>
  <c r="N57" i="1"/>
  <c r="M57" i="1"/>
  <c r="L57" i="1"/>
  <c r="K57" i="1"/>
  <c r="T57" i="1" s="1"/>
  <c r="S57" i="1" s="1"/>
  <c r="P56" i="1"/>
  <c r="N56" i="1"/>
  <c r="M56" i="1"/>
  <c r="L56" i="1"/>
  <c r="K56" i="1"/>
  <c r="P55" i="1"/>
  <c r="N55" i="1"/>
  <c r="M55" i="1"/>
  <c r="L55" i="1"/>
  <c r="K55" i="1"/>
  <c r="P54" i="1"/>
  <c r="N54" i="1"/>
  <c r="M54" i="1"/>
  <c r="L54" i="1"/>
  <c r="K54" i="1"/>
  <c r="P53" i="1"/>
  <c r="N53" i="1"/>
  <c r="M53" i="1"/>
  <c r="L53" i="1"/>
  <c r="K53" i="1"/>
  <c r="P52" i="1"/>
  <c r="N52" i="1"/>
  <c r="M52" i="1"/>
  <c r="L52" i="1"/>
  <c r="K52" i="1"/>
  <c r="T52" i="1" s="1"/>
  <c r="S52" i="1" s="1"/>
  <c r="P51" i="1"/>
  <c r="N51" i="1"/>
  <c r="M51" i="1"/>
  <c r="L51" i="1"/>
  <c r="K51" i="1"/>
  <c r="P50" i="1"/>
  <c r="N50" i="1"/>
  <c r="M50" i="1"/>
  <c r="L50" i="1"/>
  <c r="K50" i="1"/>
  <c r="P49" i="1"/>
  <c r="N49" i="1"/>
  <c r="M49" i="1"/>
  <c r="L49" i="1"/>
  <c r="K49" i="1"/>
  <c r="P48" i="1"/>
  <c r="N48" i="1"/>
  <c r="M48" i="1"/>
  <c r="L48" i="1"/>
  <c r="K48" i="1"/>
  <c r="T48" i="1" s="1"/>
  <c r="S48" i="1" s="1"/>
  <c r="P47" i="1"/>
  <c r="N47" i="1"/>
  <c r="M47" i="1"/>
  <c r="L47" i="1"/>
  <c r="K47" i="1"/>
  <c r="T47" i="1" s="1"/>
  <c r="S47" i="1" s="1"/>
  <c r="P46" i="1"/>
  <c r="N46" i="1"/>
  <c r="M46" i="1"/>
  <c r="L46" i="1"/>
  <c r="K46" i="1"/>
  <c r="P45" i="1"/>
  <c r="N45" i="1"/>
  <c r="M45" i="1"/>
  <c r="L45" i="1"/>
  <c r="K45" i="1"/>
  <c r="T45" i="1" s="1"/>
  <c r="S45" i="1" s="1"/>
  <c r="P44" i="1"/>
  <c r="N44" i="1"/>
  <c r="M44" i="1"/>
  <c r="L44" i="1"/>
  <c r="K44" i="1"/>
  <c r="P43" i="1"/>
  <c r="N43" i="1"/>
  <c r="M43" i="1"/>
  <c r="L43" i="1"/>
  <c r="K43" i="1"/>
  <c r="P42" i="1"/>
  <c r="N42" i="1"/>
  <c r="M42" i="1"/>
  <c r="L42" i="1"/>
  <c r="K42" i="1"/>
  <c r="P41" i="1"/>
  <c r="N41" i="1"/>
  <c r="M41" i="1"/>
  <c r="L41" i="1"/>
  <c r="K41" i="1"/>
  <c r="P40" i="1"/>
  <c r="N40" i="1"/>
  <c r="M40" i="1"/>
  <c r="L40" i="1"/>
  <c r="K40" i="1"/>
  <c r="T40" i="1" s="1"/>
  <c r="S40" i="1" s="1"/>
  <c r="P39" i="1"/>
  <c r="N39" i="1"/>
  <c r="M39" i="1"/>
  <c r="L39" i="1"/>
  <c r="K39" i="1"/>
  <c r="P38" i="1"/>
  <c r="N38" i="1"/>
  <c r="M38" i="1"/>
  <c r="L38" i="1"/>
  <c r="K38" i="1"/>
  <c r="P37" i="1"/>
  <c r="N37" i="1"/>
  <c r="M37" i="1"/>
  <c r="L37" i="1"/>
  <c r="K37" i="1"/>
  <c r="P36" i="1"/>
  <c r="N36" i="1"/>
  <c r="M36" i="1"/>
  <c r="L36" i="1"/>
  <c r="K36" i="1"/>
  <c r="T36" i="1" s="1"/>
  <c r="S36" i="1" s="1"/>
  <c r="P35" i="1"/>
  <c r="N35" i="1"/>
  <c r="M35" i="1"/>
  <c r="L35" i="1"/>
  <c r="K35" i="1"/>
  <c r="T35" i="1" s="1"/>
  <c r="S35" i="1" s="1"/>
  <c r="P34" i="1"/>
  <c r="N34" i="1"/>
  <c r="M34" i="1"/>
  <c r="L34" i="1"/>
  <c r="K34" i="1"/>
  <c r="P33" i="1"/>
  <c r="N33" i="1"/>
  <c r="M33" i="1"/>
  <c r="L33" i="1"/>
  <c r="K33" i="1"/>
  <c r="T33" i="1" s="1"/>
  <c r="S33" i="1" s="1"/>
  <c r="P32" i="1"/>
  <c r="N32" i="1"/>
  <c r="M32" i="1"/>
  <c r="L32" i="1"/>
  <c r="K32" i="1"/>
  <c r="P31" i="1"/>
  <c r="N31" i="1"/>
  <c r="M31" i="1"/>
  <c r="L31" i="1"/>
  <c r="K31" i="1"/>
  <c r="P30" i="1"/>
  <c r="N30" i="1"/>
  <c r="M30" i="1"/>
  <c r="L30" i="1"/>
  <c r="K30" i="1"/>
  <c r="P29" i="1"/>
  <c r="N29" i="1"/>
  <c r="M29" i="1"/>
  <c r="L29" i="1"/>
  <c r="K29" i="1"/>
  <c r="P28" i="1"/>
  <c r="N28" i="1"/>
  <c r="M28" i="1"/>
  <c r="L28" i="1"/>
  <c r="K28" i="1"/>
  <c r="T28" i="1" s="1"/>
  <c r="S28" i="1" s="1"/>
  <c r="P27" i="1"/>
  <c r="N27" i="1"/>
  <c r="M27" i="1"/>
  <c r="L27" i="1"/>
  <c r="K27" i="1"/>
  <c r="P26" i="1"/>
  <c r="N26" i="1"/>
  <c r="M26" i="1"/>
  <c r="L26" i="1"/>
  <c r="K26" i="1"/>
  <c r="P25" i="1"/>
  <c r="N25" i="1"/>
  <c r="M25" i="1"/>
  <c r="L25" i="1"/>
  <c r="K25" i="1"/>
  <c r="P24" i="1"/>
  <c r="N24" i="1"/>
  <c r="M24" i="1"/>
  <c r="L24" i="1"/>
  <c r="K24" i="1"/>
  <c r="T24" i="1" s="1"/>
  <c r="S24" i="1" s="1"/>
  <c r="P23" i="1"/>
  <c r="N23" i="1"/>
  <c r="M23" i="1"/>
  <c r="L23" i="1"/>
  <c r="K23" i="1"/>
  <c r="T23" i="1" s="1"/>
  <c r="S23" i="1" s="1"/>
  <c r="P22" i="1"/>
  <c r="N22" i="1"/>
  <c r="M22" i="1"/>
  <c r="L22" i="1"/>
  <c r="K22" i="1"/>
  <c r="P21" i="1"/>
  <c r="N21" i="1"/>
  <c r="M21" i="1"/>
  <c r="L21" i="1"/>
  <c r="K21" i="1"/>
  <c r="T21" i="1" s="1"/>
  <c r="S21" i="1" s="1"/>
  <c r="P20" i="1"/>
  <c r="N20" i="1"/>
  <c r="M20" i="1"/>
  <c r="L20" i="1"/>
  <c r="K20" i="1"/>
  <c r="P19" i="1"/>
  <c r="N19" i="1"/>
  <c r="M19" i="1"/>
  <c r="L19" i="1"/>
  <c r="K19" i="1"/>
  <c r="P18" i="1"/>
  <c r="N18" i="1"/>
  <c r="M18" i="1"/>
  <c r="L18" i="1"/>
  <c r="K18" i="1"/>
  <c r="P17" i="1"/>
  <c r="N17" i="1"/>
  <c r="M17" i="1"/>
  <c r="L17" i="1"/>
  <c r="K17" i="1"/>
  <c r="P16" i="1"/>
  <c r="N16" i="1"/>
  <c r="M16" i="1"/>
  <c r="L16" i="1"/>
  <c r="K16" i="1"/>
  <c r="T16" i="1" s="1"/>
  <c r="S16" i="1" s="1"/>
  <c r="P15" i="1"/>
  <c r="N15" i="1"/>
  <c r="M15" i="1"/>
  <c r="L15" i="1"/>
  <c r="K15" i="1"/>
  <c r="P14" i="1"/>
  <c r="N14" i="1"/>
  <c r="M14" i="1"/>
  <c r="L14" i="1"/>
  <c r="K14" i="1"/>
  <c r="P13" i="1"/>
  <c r="T13" i="1" s="1"/>
  <c r="S13" i="1" s="1"/>
  <c r="N13" i="1"/>
  <c r="M13" i="1"/>
  <c r="L13" i="1"/>
  <c r="K13" i="1"/>
  <c r="P12" i="1"/>
  <c r="N12" i="1"/>
  <c r="M12" i="1"/>
  <c r="L12" i="1"/>
  <c r="K12" i="1"/>
  <c r="T12" i="1" s="1"/>
  <c r="S12" i="1" s="1"/>
  <c r="P11" i="1"/>
  <c r="N11" i="1"/>
  <c r="M11" i="1"/>
  <c r="L11" i="1"/>
  <c r="K11" i="1"/>
  <c r="T11" i="1" s="1"/>
  <c r="S11" i="1" s="1"/>
  <c r="P10" i="1"/>
  <c r="N10" i="1"/>
  <c r="M10" i="1"/>
  <c r="L10" i="1"/>
  <c r="K10" i="1"/>
  <c r="P9" i="1"/>
  <c r="N9" i="1"/>
  <c r="M9" i="1"/>
  <c r="L9" i="1"/>
  <c r="K9" i="1"/>
  <c r="T9" i="1" s="1"/>
  <c r="S9" i="1" s="1"/>
  <c r="P8" i="1"/>
  <c r="N8" i="1"/>
  <c r="M8" i="1"/>
  <c r="L8" i="1"/>
  <c r="K8" i="1"/>
  <c r="P7" i="1"/>
  <c r="N7" i="1"/>
  <c r="M7" i="1"/>
  <c r="L7" i="1"/>
  <c r="K7" i="1"/>
  <c r="P6" i="1"/>
  <c r="N6" i="1"/>
  <c r="M6" i="1"/>
  <c r="L6" i="1"/>
  <c r="K6" i="1"/>
  <c r="P5" i="1"/>
  <c r="T5" i="1" s="1"/>
  <c r="S5" i="1" s="1"/>
  <c r="N5" i="1"/>
  <c r="M5" i="1"/>
  <c r="L5" i="1"/>
  <c r="K5" i="1"/>
  <c r="P4" i="1"/>
  <c r="N4" i="1"/>
  <c r="M4" i="1"/>
  <c r="L4" i="1"/>
  <c r="K4" i="1"/>
  <c r="N3" i="1"/>
  <c r="M3" i="1"/>
  <c r="P3" i="1"/>
  <c r="L3" i="1"/>
  <c r="K3" i="1"/>
  <c r="T103" i="1"/>
  <c r="S103" i="1" s="1"/>
  <c r="T101" i="1"/>
  <c r="T99" i="1"/>
  <c r="S99" i="1" s="1"/>
  <c r="T98" i="1"/>
  <c r="S98" i="1" s="1"/>
  <c r="T97" i="1"/>
  <c r="S97" i="1" s="1"/>
  <c r="T91" i="1"/>
  <c r="T89" i="1"/>
  <c r="T87" i="1"/>
  <c r="S87" i="1" s="1"/>
  <c r="T77" i="1"/>
  <c r="S77" i="1" s="1"/>
  <c r="T75" i="1"/>
  <c r="S75" i="1" s="1"/>
  <c r="T74" i="1"/>
  <c r="S74" i="1" s="1"/>
  <c r="T73" i="1"/>
  <c r="S73" i="1" s="1"/>
  <c r="T67" i="1"/>
  <c r="T65" i="1"/>
  <c r="S65" i="1" s="1"/>
  <c r="T63" i="1"/>
  <c r="S63" i="1" s="1"/>
  <c r="T62" i="1"/>
  <c r="S62" i="1" s="1"/>
  <c r="T61" i="1"/>
  <c r="S61" i="1" s="1"/>
  <c r="T53" i="1"/>
  <c r="S53" i="1" s="1"/>
  <c r="T51" i="1"/>
  <c r="S51" i="1" s="1"/>
  <c r="T50" i="1"/>
  <c r="S50" i="1" s="1"/>
  <c r="T49" i="1"/>
  <c r="S49" i="1" s="1"/>
  <c r="T43" i="1"/>
  <c r="S43" i="1" s="1"/>
  <c r="T41" i="1"/>
  <c r="S41" i="1" s="1"/>
  <c r="T39" i="1"/>
  <c r="S39" i="1" s="1"/>
  <c r="T38" i="1"/>
  <c r="S38" i="1" s="1"/>
  <c r="T37" i="1"/>
  <c r="S37" i="1" s="1"/>
  <c r="T31" i="1"/>
  <c r="S31" i="1" s="1"/>
  <c r="T29" i="1"/>
  <c r="S29" i="1" s="1"/>
  <c r="T17" i="1"/>
  <c r="S17" i="1" s="1"/>
  <c r="T15" i="1"/>
  <c r="S15" i="1" s="1"/>
  <c r="T14" i="1"/>
  <c r="S14" i="1" s="1"/>
  <c r="S101" i="1"/>
  <c r="S91" i="1"/>
  <c r="S89" i="1"/>
  <c r="S67" i="1"/>
  <c r="T10" i="1" l="1"/>
  <c r="S10" i="1" s="1"/>
  <c r="T22" i="1"/>
  <c r="S22" i="1" s="1"/>
  <c r="T34" i="1"/>
  <c r="S34" i="1" s="1"/>
  <c r="T46" i="1"/>
  <c r="S46" i="1" s="1"/>
  <c r="T58" i="1"/>
  <c r="S58" i="1" s="1"/>
  <c r="T70" i="1"/>
  <c r="S70" i="1" s="1"/>
  <c r="T82" i="1"/>
  <c r="S82" i="1" s="1"/>
  <c r="T94" i="1"/>
  <c r="S94" i="1" s="1"/>
  <c r="T7" i="1"/>
  <c r="S7" i="1" s="1"/>
  <c r="T8" i="1"/>
  <c r="S8" i="1" s="1"/>
  <c r="T20" i="1"/>
  <c r="S20" i="1" s="1"/>
  <c r="T32" i="1"/>
  <c r="S32" i="1" s="1"/>
  <c r="T44" i="1"/>
  <c r="S44" i="1" s="1"/>
  <c r="T56" i="1"/>
  <c r="S56" i="1" s="1"/>
  <c r="T68" i="1"/>
  <c r="S68" i="1" s="1"/>
  <c r="T80" i="1"/>
  <c r="S80" i="1" s="1"/>
  <c r="T92" i="1"/>
  <c r="S92" i="1" s="1"/>
  <c r="T6" i="1"/>
  <c r="S6" i="1" s="1"/>
  <c r="T18" i="1"/>
  <c r="S18" i="1" s="1"/>
  <c r="T30" i="1"/>
  <c r="S30" i="1" s="1"/>
  <c r="T42" i="1"/>
  <c r="S42" i="1" s="1"/>
  <c r="T54" i="1"/>
  <c r="S54" i="1" s="1"/>
  <c r="T66" i="1"/>
  <c r="S66" i="1" s="1"/>
  <c r="T78" i="1"/>
  <c r="S78" i="1" s="1"/>
  <c r="T90" i="1"/>
  <c r="S90" i="1" s="1"/>
  <c r="T102" i="1"/>
  <c r="S102" i="1" s="1"/>
  <c r="T83" i="1"/>
  <c r="S83" i="1" s="1"/>
  <c r="T95" i="1"/>
  <c r="S95" i="1" s="1"/>
  <c r="T4" i="1"/>
  <c r="S4" i="1" s="1"/>
  <c r="T3" i="1" l="1"/>
  <c r="S3" i="1" s="1"/>
</calcChain>
</file>

<file path=xl/sharedStrings.xml><?xml version="1.0" encoding="utf-8"?>
<sst xmlns="http://schemas.openxmlformats.org/spreadsheetml/2006/main" count="39" uniqueCount="36">
  <si>
    <t>S. No</t>
  </si>
  <si>
    <t xml:space="preserve">Feature ID </t>
  </si>
  <si>
    <t>Description</t>
  </si>
  <si>
    <t>Worksteam</t>
  </si>
  <si>
    <t>Functional Lead</t>
  </si>
  <si>
    <t>Status</t>
  </si>
  <si>
    <t>Testers</t>
  </si>
  <si>
    <t>Testers Comment</t>
  </si>
  <si>
    <t>FIT IN PROGRESS</t>
  </si>
  <si>
    <t xml:space="preserve">FIT Handover </t>
  </si>
  <si>
    <t>UAT Handover</t>
  </si>
  <si>
    <t>UAT IN PROGRESS</t>
  </si>
  <si>
    <t>UAT done by Func.Engg</t>
  </si>
  <si>
    <t>FIT done by Func.Engg</t>
  </si>
  <si>
    <t>KT yet to schedule</t>
  </si>
  <si>
    <t>DEFECT Identified</t>
  </si>
  <si>
    <t>DEFECT rectification</t>
  </si>
  <si>
    <t>REGRESSION IN PROGRESS</t>
  </si>
  <si>
    <t>REGRESSION COMPLETED</t>
  </si>
  <si>
    <t>UAT Completed</t>
  </si>
  <si>
    <t>FIT Completed</t>
  </si>
  <si>
    <t>Multicarrier</t>
  </si>
  <si>
    <t>KT completed</t>
  </si>
  <si>
    <t>Document sent Awaiting confirmation</t>
  </si>
  <si>
    <t>Doc. Status</t>
  </si>
  <si>
    <t>Date</t>
  </si>
  <si>
    <t>PROGRESS</t>
  </si>
  <si>
    <t xml:space="preserve">TO DO </t>
  </si>
  <si>
    <t>COMPLETED</t>
  </si>
  <si>
    <t>Confirmation received</t>
  </si>
  <si>
    <t>KT TBS</t>
  </si>
  <si>
    <t>KT Done</t>
  </si>
  <si>
    <t>FIT Done</t>
  </si>
  <si>
    <t>UAT Done</t>
  </si>
  <si>
    <t>Approval pending</t>
  </si>
  <si>
    <t>Confirmation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</si>
</sst>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Maersk Headline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9" fontId="2" fillId="0" borderId="0" xfId="1" applyFont="1"/>
    <xf numFmtId="9" fontId="2" fillId="0" borderId="0" xfId="1" applyFont="1" applyAlignment="1">
      <alignment horizontal="left"/>
    </xf>
    <xf numFmtId="9" fontId="4" fillId="0" borderId="0" xfId="1" applyFont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15B0-1348-4692-A8B4-0CC0C72F6D0C}">
  <dimension ref="A1:XFC103"/>
  <sheetViews>
    <sheetView tabSelected="1" topLeftCell="A69" workbookViewId="0">
      <selection activeCell="L103" sqref="L103"/>
    </sheetView>
  </sheetViews>
  <sheetFormatPr defaultColWidth="8.85546875" defaultRowHeight="15" x14ac:dyDescent="0.25"/>
  <cols>
    <col min="1" max="1" width="6" bestFit="1" customWidth="1"/>
    <col min="2" max="2" width="11.7109375" bestFit="1" customWidth="1"/>
    <col min="3" max="3" width="12.28515625" bestFit="1" customWidth="1"/>
    <col min="4" max="4" width="12.42578125" bestFit="1" customWidth="1"/>
    <col min="5" max="5" width="16.5703125" bestFit="1" customWidth="1"/>
    <col min="6" max="6" width="12" bestFit="1" customWidth="1"/>
    <col min="7" max="7" width="5.85546875" bestFit="1" customWidth="1"/>
    <col min="8" max="8" width="12" bestFit="1" customWidth="1"/>
    <col min="9" max="9" width="5.85546875" bestFit="1" customWidth="1"/>
    <col min="10" max="10" width="14.42578125" bestFit="1" customWidth="1"/>
    <col min="11" max="11" width="8.140625" style="4" bestFit="1" customWidth="1"/>
    <col min="12" max="12" width="9.140625" style="4" bestFit="1" customWidth="1"/>
    <col min="13" max="13" width="9.7109375" style="4" bestFit="1" customWidth="1"/>
    <col min="14" max="14" width="10.7109375" style="4" bestFit="1" customWidth="1"/>
    <col min="15" max="15" width="18" style="4" bestFit="1" customWidth="1"/>
    <col min="16" max="16" width="22.85546875" style="4" bestFit="1" customWidth="1"/>
    <col min="17" max="17" width="8.42578125" style="4" bestFit="1" customWidth="1"/>
    <col min="18" max="18" width="18.42578125" bestFit="1" customWidth="1"/>
    <col min="19" max="19" width="7.5703125" bestFit="1" customWidth="1"/>
    <col min="20" max="20" width="13.140625" bestFit="1" customWidth="1"/>
    <col min="16383" max="16383" width="34.85546875" bestFit="1" customWidth="1"/>
  </cols>
  <sheetData>
    <row r="1" spans="1:20 16383:16383" ht="17.25" thickBo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0" t="s">
        <v>9</v>
      </c>
      <c r="G1" s="10"/>
      <c r="H1" s="14" t="s">
        <v>10</v>
      </c>
      <c r="I1" s="15"/>
      <c r="J1" s="11" t="s">
        <v>5</v>
      </c>
      <c r="K1" s="17" t="s">
        <v>5</v>
      </c>
      <c r="L1" s="18"/>
      <c r="M1" s="18"/>
      <c r="N1" s="18"/>
      <c r="O1" s="18"/>
      <c r="P1" s="18"/>
      <c r="Q1" s="13" t="s">
        <v>6</v>
      </c>
      <c r="R1" s="13" t="s">
        <v>7</v>
      </c>
      <c r="S1" s="16" t="s">
        <v>26</v>
      </c>
      <c r="T1" s="15"/>
      <c r="XFC1" s="2" t="s">
        <v>8</v>
      </c>
    </row>
    <row r="2" spans="1:20 16383:16383" ht="16.5" x14ac:dyDescent="0.3">
      <c r="A2" s="11"/>
      <c r="B2" s="11"/>
      <c r="C2" s="11"/>
      <c r="D2" s="11"/>
      <c r="E2" s="11"/>
      <c r="F2" s="5" t="s">
        <v>24</v>
      </c>
      <c r="G2" s="5" t="s">
        <v>25</v>
      </c>
      <c r="H2" s="5" t="s">
        <v>24</v>
      </c>
      <c r="I2" s="5" t="s">
        <v>25</v>
      </c>
      <c r="J2" s="12"/>
      <c r="K2" s="5" t="s">
        <v>30</v>
      </c>
      <c r="L2" s="5" t="s">
        <v>31</v>
      </c>
      <c r="M2" s="5" t="s">
        <v>32</v>
      </c>
      <c r="N2" s="5" t="s">
        <v>33</v>
      </c>
      <c r="O2" s="5" t="s">
        <v>34</v>
      </c>
      <c r="P2" s="5" t="s">
        <v>29</v>
      </c>
      <c r="Q2" s="11"/>
      <c r="R2" s="11"/>
      <c r="S2" s="6" t="s">
        <v>27</v>
      </c>
      <c r="T2" s="6" t="s">
        <v>28</v>
      </c>
      <c r="XFC2" s="2" t="s">
        <v>11</v>
      </c>
    </row>
    <row r="3" spans="1:20 16383:16383" x14ac:dyDescent="0.25">
      <c r="K3" s="1">
        <f>IF(OR(J3="KT YET TO SCHEDULE",J3="KT COMPLETED",J3="FIt COMPLETED",J3="UAT COMPLETED",J3="CONFIRMATION RECEIVED",J3="Document sent Awaiting confirmation",J3="FIT IN PROGRESS",J3="UAT IN PROGRESS",),1,0)</f>
        <v>0</v>
      </c>
      <c r="L3" s="1">
        <f>IF(OR(J3="KT COMPLETED",J3="FIt COMPLETED",J3="UAT COMPLETED",J3="CONFIRMATION RECEIVED",J3="Document sent Awaiting confirmation",J3="FIT IN PROGRESS",J3="UAT IN PROGRESS"),1,0)</f>
        <v>0</v>
      </c>
      <c r="M3" s="1">
        <f>IF(OR(J3="FIt COMPLETED",J3="UAT COMPLETED",J3="CONFIRMATION RECEIVED",J3="Document sent Awaiting confirmation",J3="UAT IN PROGRESS"),1,0)</f>
        <v>0</v>
      </c>
      <c r="N3" s="1">
        <f>IF(OR(J3="UAT COMPLETED",J3="CONFIRMATION RECEIVED",J3="Document sent Awaiting confirmation"),1,0)</f>
        <v>0</v>
      </c>
      <c r="O3" s="1">
        <f>IF(OR(J3="UAT COMPLETED",J3="CONFIRMATION RECEIVED"),1,0)</f>
        <v>0</v>
      </c>
      <c r="P3" s="1">
        <f>IF(J3="CONFIRMATION RECEIVED",1,0)</f>
        <v>0</v>
      </c>
      <c r="Q3"/>
      <c r="S3" s="8">
        <f>1-T3</f>
        <v>1</v>
      </c>
      <c r="T3" s="7">
        <f>COUNTIF(K3:P3,1)/6</f>
        <v>0</v>
      </c>
      <c r="XFC3" s="2" t="s">
        <v>12</v>
      </c>
    </row>
    <row r="4" spans="1:20 16383:16383" x14ac:dyDescent="0.25">
      <c r="K4" s="1">
        <f t="shared" ref="K4:K67" si="0">IF(OR(J4="KT YET TO SCHEDULE",J4="KT COMPLETED",J4="FIt COMPLETED",J4="UAT COMPLETED",J4="CONFIRMATION RECEIVED",J4="Document sent Awaiting confirmation",J4="FIT IN PROGRESS",J4="UAT IN PROGRESS",),1,0)</f>
        <v>0</v>
      </c>
      <c r="L4" s="1">
        <f t="shared" ref="L4:L67" si="1">IF(OR(J4="KT COMPLETED",J4="FIt COMPLETED",J4="UAT COMPLETED",J4="CONFIRMATION RECEIVED",J4="Document sent Awaiting confirmation",J4="FIT IN PROGRESS",J4="UAT IN PROGRESS"),1,0)</f>
        <v>0</v>
      </c>
      <c r="M4" s="1">
        <f t="shared" ref="M4:M67" si="2">IF(OR(J4="FIt COMPLETED",J4="UAT COMPLETED",J4="CONFIRMATION RECEIVED",J4="Document sent Awaiting confirmation",J4="UAT IN PROGRESS"),1,0)</f>
        <v>0</v>
      </c>
      <c r="N4" s="1">
        <f t="shared" ref="N4:N67" si="3">IF(OR(J4="UAT COMPLETED",J4="CONFIRMATION RECEIVED",J4="Document sent Awaiting confirmation"),1,0)</f>
        <v>0</v>
      </c>
      <c r="O4" s="1">
        <f t="shared" ref="O4:O67" si="4">IF(OR(J4="UAT COMPLETED",J4="CONFIRMATION RECEIVED"),1,0)</f>
        <v>0</v>
      </c>
      <c r="P4" s="1">
        <f t="shared" ref="P4:P67" si="5">IF(J4="CONFIRMATION RECEIVED",1,0)</f>
        <v>0</v>
      </c>
      <c r="S4" s="8">
        <f t="shared" ref="S4:S67" si="6">1-T4</f>
        <v>1</v>
      </c>
      <c r="T4" s="7">
        <f t="shared" ref="T4:T67" si="7">COUNTIF(K4:P4,1)/6</f>
        <v>0</v>
      </c>
      <c r="XFC4" s="2" t="s">
        <v>13</v>
      </c>
    </row>
    <row r="5" spans="1:20 16383:16383" x14ac:dyDescent="0.25">
      <c r="K5" s="1">
        <f t="shared" si="0"/>
        <v>0</v>
      </c>
      <c r="L5" s="1">
        <f t="shared" si="1"/>
        <v>0</v>
      </c>
      <c r="M5" s="1">
        <f t="shared" si="2"/>
        <v>0</v>
      </c>
      <c r="N5" s="1">
        <f t="shared" si="3"/>
        <v>0</v>
      </c>
      <c r="O5" s="1">
        <f t="shared" si="4"/>
        <v>0</v>
      </c>
      <c r="P5" s="1">
        <f t="shared" si="5"/>
        <v>0</v>
      </c>
      <c r="S5" s="8">
        <f t="shared" si="6"/>
        <v>1</v>
      </c>
      <c r="T5" s="7">
        <f t="shared" si="7"/>
        <v>0</v>
      </c>
      <c r="XFC5" s="2" t="s">
        <v>14</v>
      </c>
    </row>
    <row r="6" spans="1:20 16383:16383" x14ac:dyDescent="0.25">
      <c r="K6" s="1">
        <f t="shared" si="0"/>
        <v>0</v>
      </c>
      <c r="L6" s="1">
        <f t="shared" si="1"/>
        <v>0</v>
      </c>
      <c r="M6" s="1">
        <f t="shared" si="2"/>
        <v>0</v>
      </c>
      <c r="N6" s="1">
        <f t="shared" si="3"/>
        <v>0</v>
      </c>
      <c r="O6" s="1">
        <f t="shared" si="4"/>
        <v>0</v>
      </c>
      <c r="P6" s="1">
        <f t="shared" si="5"/>
        <v>0</v>
      </c>
      <c r="S6" s="8">
        <f t="shared" si="6"/>
        <v>1</v>
      </c>
      <c r="T6" s="7">
        <f t="shared" si="7"/>
        <v>0</v>
      </c>
      <c r="XFC6" s="2" t="s">
        <v>15</v>
      </c>
    </row>
    <row r="7" spans="1:20 16383:16383" x14ac:dyDescent="0.25">
      <c r="K7" s="1">
        <f t="shared" si="0"/>
        <v>0</v>
      </c>
      <c r="L7" s="1">
        <f t="shared" si="1"/>
        <v>0</v>
      </c>
      <c r="M7" s="1">
        <f t="shared" si="2"/>
        <v>0</v>
      </c>
      <c r="N7" s="1">
        <f t="shared" si="3"/>
        <v>0</v>
      </c>
      <c r="O7" s="1">
        <f t="shared" si="4"/>
        <v>0</v>
      </c>
      <c r="P7" s="1">
        <f t="shared" si="5"/>
        <v>0</v>
      </c>
      <c r="S7" s="8">
        <f t="shared" si="6"/>
        <v>1</v>
      </c>
      <c r="T7" s="7">
        <f t="shared" si="7"/>
        <v>0</v>
      </c>
      <c r="XFC7" s="2" t="s">
        <v>16</v>
      </c>
    </row>
    <row r="8" spans="1:20 16383:16383" x14ac:dyDescent="0.25">
      <c r="K8" s="1">
        <f t="shared" si="0"/>
        <v>0</v>
      </c>
      <c r="L8" s="1">
        <f t="shared" si="1"/>
        <v>0</v>
      </c>
      <c r="M8" s="1">
        <f t="shared" si="2"/>
        <v>0</v>
      </c>
      <c r="N8" s="1">
        <f t="shared" si="3"/>
        <v>0</v>
      </c>
      <c r="O8" s="1">
        <f t="shared" si="4"/>
        <v>0</v>
      </c>
      <c r="P8" s="1">
        <f t="shared" si="5"/>
        <v>0</v>
      </c>
      <c r="S8" s="8">
        <f t="shared" si="6"/>
        <v>1</v>
      </c>
      <c r="T8" s="7">
        <f t="shared" si="7"/>
        <v>0</v>
      </c>
      <c r="XFC8" s="2" t="s">
        <v>17</v>
      </c>
    </row>
    <row r="9" spans="1:20 16383:16383" x14ac:dyDescent="0.25">
      <c r="K9" s="1">
        <f t="shared" si="0"/>
        <v>0</v>
      </c>
      <c r="L9" s="1">
        <f t="shared" si="1"/>
        <v>0</v>
      </c>
      <c r="M9" s="1">
        <f t="shared" si="2"/>
        <v>0</v>
      </c>
      <c r="N9" s="1">
        <f t="shared" si="3"/>
        <v>0</v>
      </c>
      <c r="O9" s="1">
        <f t="shared" si="4"/>
        <v>0</v>
      </c>
      <c r="P9" s="1">
        <f t="shared" si="5"/>
        <v>0</v>
      </c>
      <c r="S9" s="8">
        <f t="shared" si="6"/>
        <v>1</v>
      </c>
      <c r="T9" s="7">
        <f t="shared" si="7"/>
        <v>0</v>
      </c>
      <c r="XFC9" s="2" t="s">
        <v>18</v>
      </c>
    </row>
    <row r="10" spans="1:20 16383:16383" x14ac:dyDescent="0.25">
      <c r="K10" s="1">
        <f t="shared" si="0"/>
        <v>0</v>
      </c>
      <c r="L10" s="1">
        <f t="shared" si="1"/>
        <v>0</v>
      </c>
      <c r="M10" s="1">
        <f t="shared" si="2"/>
        <v>0</v>
      </c>
      <c r="N10" s="1">
        <f t="shared" si="3"/>
        <v>0</v>
      </c>
      <c r="O10" s="1">
        <f t="shared" si="4"/>
        <v>0</v>
      </c>
      <c r="P10" s="1">
        <f t="shared" si="5"/>
        <v>0</v>
      </c>
      <c r="S10" s="8">
        <f t="shared" si="6"/>
        <v>1</v>
      </c>
      <c r="T10" s="7">
        <f t="shared" si="7"/>
        <v>0</v>
      </c>
      <c r="XFC10" s="2" t="s">
        <v>19</v>
      </c>
    </row>
    <row r="11" spans="1:20 16383:16383" x14ac:dyDescent="0.25">
      <c r="K11" s="1">
        <f t="shared" si="0"/>
        <v>0</v>
      </c>
      <c r="L11" s="1">
        <f t="shared" si="1"/>
        <v>0</v>
      </c>
      <c r="M11" s="1">
        <f t="shared" si="2"/>
        <v>0</v>
      </c>
      <c r="N11" s="1">
        <f t="shared" si="3"/>
        <v>0</v>
      </c>
      <c r="O11" s="1">
        <f t="shared" si="4"/>
        <v>0</v>
      </c>
      <c r="P11" s="1">
        <f t="shared" si="5"/>
        <v>0</v>
      </c>
      <c r="S11" s="8">
        <f t="shared" si="6"/>
        <v>1</v>
      </c>
      <c r="T11" s="7">
        <f t="shared" si="7"/>
        <v>0</v>
      </c>
      <c r="XFC11" s="2" t="s">
        <v>20</v>
      </c>
    </row>
    <row r="12" spans="1:20 16383:16383" x14ac:dyDescent="0.25">
      <c r="K12" s="1">
        <f t="shared" si="0"/>
        <v>0</v>
      </c>
      <c r="L12" s="1">
        <f t="shared" si="1"/>
        <v>0</v>
      </c>
      <c r="M12" s="1">
        <f t="shared" si="2"/>
        <v>0</v>
      </c>
      <c r="N12" s="1">
        <f t="shared" si="3"/>
        <v>0</v>
      </c>
      <c r="O12" s="1">
        <f t="shared" si="4"/>
        <v>0</v>
      </c>
      <c r="P12" s="1">
        <f t="shared" si="5"/>
        <v>0</v>
      </c>
      <c r="S12" s="8">
        <f t="shared" si="6"/>
        <v>1</v>
      </c>
      <c r="T12" s="7">
        <f t="shared" si="7"/>
        <v>0</v>
      </c>
      <c r="XFC12" s="3" t="s">
        <v>21</v>
      </c>
    </row>
    <row r="13" spans="1:20 16383:16383" x14ac:dyDescent="0.25">
      <c r="K13" s="1">
        <f t="shared" si="0"/>
        <v>0</v>
      </c>
      <c r="L13" s="1">
        <f t="shared" si="1"/>
        <v>0</v>
      </c>
      <c r="M13" s="1">
        <f t="shared" si="2"/>
        <v>0</v>
      </c>
      <c r="N13" s="1">
        <f t="shared" si="3"/>
        <v>0</v>
      </c>
      <c r="O13" s="1">
        <f t="shared" si="4"/>
        <v>0</v>
      </c>
      <c r="P13" s="1">
        <f t="shared" si="5"/>
        <v>0</v>
      </c>
      <c r="S13" s="8">
        <f t="shared" si="6"/>
        <v>1</v>
      </c>
      <c r="T13" s="7">
        <f t="shared" si="7"/>
        <v>0</v>
      </c>
      <c r="XFC13" s="2" t="s">
        <v>22</v>
      </c>
    </row>
    <row r="14" spans="1:20 16383:16383" x14ac:dyDescent="0.25">
      <c r="K14" s="1">
        <f t="shared" si="0"/>
        <v>0</v>
      </c>
      <c r="L14" s="1">
        <f t="shared" si="1"/>
        <v>0</v>
      </c>
      <c r="M14" s="1">
        <f t="shared" si="2"/>
        <v>0</v>
      </c>
      <c r="N14" s="1">
        <f t="shared" si="3"/>
        <v>0</v>
      </c>
      <c r="O14" s="1">
        <f t="shared" si="4"/>
        <v>0</v>
      </c>
      <c r="P14" s="1">
        <f t="shared" si="5"/>
        <v>0</v>
      </c>
      <c r="S14" s="8">
        <f t="shared" si="6"/>
        <v>1</v>
      </c>
      <c r="T14" s="7">
        <f t="shared" si="7"/>
        <v>0</v>
      </c>
      <c r="XFC14" s="2" t="s">
        <v>23</v>
      </c>
    </row>
    <row r="15" spans="1:20 16383:16383" x14ac:dyDescent="0.25">
      <c r="K15" s="1">
        <f t="shared" si="0"/>
        <v>0</v>
      </c>
      <c r="L15" s="1">
        <f t="shared" si="1"/>
        <v>0</v>
      </c>
      <c r="M15" s="1">
        <f t="shared" si="2"/>
        <v>0</v>
      </c>
      <c r="N15" s="1">
        <f t="shared" si="3"/>
        <v>0</v>
      </c>
      <c r="O15" s="1">
        <f t="shared" si="4"/>
        <v>0</v>
      </c>
      <c r="P15" s="1">
        <f t="shared" si="5"/>
        <v>0</v>
      </c>
      <c r="S15" s="8">
        <f t="shared" si="6"/>
        <v>1</v>
      </c>
      <c r="T15" s="7">
        <f t="shared" si="7"/>
        <v>0</v>
      </c>
      <c r="XFC15" s="2" t="s">
        <v>35</v>
      </c>
    </row>
    <row r="16" spans="1:20 16383:16383" x14ac:dyDescent="0.25">
      <c r="K16" s="1">
        <f t="shared" si="0"/>
        <v>0</v>
      </c>
      <c r="L16" s="1">
        <f t="shared" si="1"/>
        <v>0</v>
      </c>
      <c r="M16" s="1">
        <f t="shared" si="2"/>
        <v>0</v>
      </c>
      <c r="N16" s="1">
        <f t="shared" si="3"/>
        <v>0</v>
      </c>
      <c r="O16" s="1">
        <f t="shared" si="4"/>
        <v>0</v>
      </c>
      <c r="P16" s="1">
        <f t="shared" si="5"/>
        <v>0</v>
      </c>
      <c r="S16" s="8">
        <f t="shared" si="6"/>
        <v>1</v>
      </c>
      <c r="T16" s="7">
        <f t="shared" si="7"/>
        <v>0</v>
      </c>
    </row>
    <row r="17" spans="11:20" x14ac:dyDescent="0.25">
      <c r="K17" s="1">
        <f t="shared" si="0"/>
        <v>0</v>
      </c>
      <c r="L17" s="1">
        <f t="shared" si="1"/>
        <v>0</v>
      </c>
      <c r="M17" s="1">
        <f t="shared" si="2"/>
        <v>0</v>
      </c>
      <c r="N17" s="1">
        <f t="shared" si="3"/>
        <v>0</v>
      </c>
      <c r="O17" s="1">
        <f t="shared" si="4"/>
        <v>0</v>
      </c>
      <c r="P17" s="1">
        <f t="shared" si="5"/>
        <v>0</v>
      </c>
      <c r="S17" s="8">
        <f t="shared" si="6"/>
        <v>1</v>
      </c>
      <c r="T17" s="7">
        <f t="shared" si="7"/>
        <v>0</v>
      </c>
    </row>
    <row r="18" spans="11:20" x14ac:dyDescent="0.25">
      <c r="K18" s="1">
        <f t="shared" si="0"/>
        <v>0</v>
      </c>
      <c r="L18" s="1">
        <f t="shared" si="1"/>
        <v>0</v>
      </c>
      <c r="M18" s="1">
        <f t="shared" si="2"/>
        <v>0</v>
      </c>
      <c r="N18" s="1">
        <f t="shared" si="3"/>
        <v>0</v>
      </c>
      <c r="O18" s="1">
        <f t="shared" si="4"/>
        <v>0</v>
      </c>
      <c r="P18" s="1">
        <f t="shared" si="5"/>
        <v>0</v>
      </c>
      <c r="S18" s="8">
        <f t="shared" si="6"/>
        <v>1</v>
      </c>
      <c r="T18" s="7">
        <f t="shared" si="7"/>
        <v>0</v>
      </c>
    </row>
    <row r="19" spans="11:20" x14ac:dyDescent="0.25">
      <c r="K19" s="1">
        <f t="shared" si="0"/>
        <v>0</v>
      </c>
      <c r="L19" s="1">
        <f t="shared" si="1"/>
        <v>0</v>
      </c>
      <c r="M19" s="1">
        <f t="shared" si="2"/>
        <v>0</v>
      </c>
      <c r="N19" s="1">
        <f t="shared" si="3"/>
        <v>0</v>
      </c>
      <c r="O19" s="1">
        <f t="shared" si="4"/>
        <v>0</v>
      </c>
      <c r="P19" s="1">
        <f t="shared" si="5"/>
        <v>0</v>
      </c>
      <c r="S19" s="8">
        <f t="shared" si="6"/>
        <v>1</v>
      </c>
      <c r="T19" s="7">
        <f t="shared" si="7"/>
        <v>0</v>
      </c>
    </row>
    <row r="20" spans="11:20" x14ac:dyDescent="0.25">
      <c r="K20" s="1">
        <f t="shared" si="0"/>
        <v>0</v>
      </c>
      <c r="L20" s="1">
        <f t="shared" si="1"/>
        <v>0</v>
      </c>
      <c r="M20" s="1">
        <f t="shared" si="2"/>
        <v>0</v>
      </c>
      <c r="N20" s="1">
        <f t="shared" si="3"/>
        <v>0</v>
      </c>
      <c r="O20" s="1">
        <f t="shared" si="4"/>
        <v>0</v>
      </c>
      <c r="P20" s="1">
        <f t="shared" si="5"/>
        <v>0</v>
      </c>
      <c r="S20" s="8">
        <f t="shared" si="6"/>
        <v>1</v>
      </c>
      <c r="T20" s="7">
        <f t="shared" si="7"/>
        <v>0</v>
      </c>
    </row>
    <row r="21" spans="11:20" x14ac:dyDescent="0.25">
      <c r="K21" s="1">
        <f t="shared" si="0"/>
        <v>0</v>
      </c>
      <c r="L21" s="1">
        <f t="shared" si="1"/>
        <v>0</v>
      </c>
      <c r="M21" s="1">
        <f t="shared" si="2"/>
        <v>0</v>
      </c>
      <c r="N21" s="1">
        <f t="shared" si="3"/>
        <v>0</v>
      </c>
      <c r="O21" s="1">
        <f t="shared" si="4"/>
        <v>0</v>
      </c>
      <c r="P21" s="1">
        <f t="shared" si="5"/>
        <v>0</v>
      </c>
      <c r="S21" s="8">
        <f t="shared" si="6"/>
        <v>1</v>
      </c>
      <c r="T21" s="7">
        <f t="shared" si="7"/>
        <v>0</v>
      </c>
    </row>
    <row r="22" spans="11:20" x14ac:dyDescent="0.25">
      <c r="K22" s="1">
        <f t="shared" si="0"/>
        <v>0</v>
      </c>
      <c r="L22" s="1">
        <f t="shared" si="1"/>
        <v>0</v>
      </c>
      <c r="M22" s="1">
        <f t="shared" si="2"/>
        <v>0</v>
      </c>
      <c r="N22" s="1">
        <f t="shared" si="3"/>
        <v>0</v>
      </c>
      <c r="O22" s="1">
        <f t="shared" si="4"/>
        <v>0</v>
      </c>
      <c r="P22" s="1">
        <f t="shared" si="5"/>
        <v>0</v>
      </c>
      <c r="S22" s="8">
        <f t="shared" si="6"/>
        <v>1</v>
      </c>
      <c r="T22" s="7">
        <f t="shared" si="7"/>
        <v>0</v>
      </c>
    </row>
    <row r="23" spans="11:20" x14ac:dyDescent="0.25">
      <c r="K23" s="1">
        <f t="shared" si="0"/>
        <v>0</v>
      </c>
      <c r="L23" s="1">
        <f t="shared" si="1"/>
        <v>0</v>
      </c>
      <c r="M23" s="1">
        <f t="shared" si="2"/>
        <v>0</v>
      </c>
      <c r="N23" s="1">
        <f t="shared" si="3"/>
        <v>0</v>
      </c>
      <c r="O23" s="1">
        <f t="shared" si="4"/>
        <v>0</v>
      </c>
      <c r="P23" s="1">
        <f t="shared" si="5"/>
        <v>0</v>
      </c>
      <c r="S23" s="8">
        <f t="shared" si="6"/>
        <v>1</v>
      </c>
      <c r="T23" s="7">
        <f t="shared" si="7"/>
        <v>0</v>
      </c>
    </row>
    <row r="24" spans="11:20" x14ac:dyDescent="0.25">
      <c r="K24" s="1">
        <f t="shared" si="0"/>
        <v>0</v>
      </c>
      <c r="L24" s="1">
        <f t="shared" si="1"/>
        <v>0</v>
      </c>
      <c r="M24" s="1">
        <f t="shared" si="2"/>
        <v>0</v>
      </c>
      <c r="N24" s="1">
        <f t="shared" si="3"/>
        <v>0</v>
      </c>
      <c r="O24" s="1">
        <f t="shared" si="4"/>
        <v>0</v>
      </c>
      <c r="P24" s="1">
        <f t="shared" si="5"/>
        <v>0</v>
      </c>
      <c r="S24" s="8">
        <f t="shared" si="6"/>
        <v>1</v>
      </c>
      <c r="T24" s="7">
        <f t="shared" si="7"/>
        <v>0</v>
      </c>
    </row>
    <row r="25" spans="11:20" x14ac:dyDescent="0.25">
      <c r="K25" s="1">
        <f t="shared" si="0"/>
        <v>0</v>
      </c>
      <c r="L25" s="1">
        <f t="shared" si="1"/>
        <v>0</v>
      </c>
      <c r="M25" s="1">
        <f t="shared" si="2"/>
        <v>0</v>
      </c>
      <c r="N25" s="1">
        <f t="shared" si="3"/>
        <v>0</v>
      </c>
      <c r="O25" s="1">
        <f t="shared" si="4"/>
        <v>0</v>
      </c>
      <c r="P25" s="1">
        <f t="shared" si="5"/>
        <v>0</v>
      </c>
      <c r="S25" s="8">
        <f t="shared" si="6"/>
        <v>1</v>
      </c>
      <c r="T25" s="7">
        <f t="shared" si="7"/>
        <v>0</v>
      </c>
    </row>
    <row r="26" spans="11:20" x14ac:dyDescent="0.25">
      <c r="K26" s="1">
        <f t="shared" si="0"/>
        <v>0</v>
      </c>
      <c r="L26" s="1">
        <f t="shared" si="1"/>
        <v>0</v>
      </c>
      <c r="M26" s="1">
        <f t="shared" si="2"/>
        <v>0</v>
      </c>
      <c r="N26" s="1">
        <f t="shared" si="3"/>
        <v>0</v>
      </c>
      <c r="O26" s="1">
        <f t="shared" si="4"/>
        <v>0</v>
      </c>
      <c r="P26" s="1">
        <f t="shared" si="5"/>
        <v>0</v>
      </c>
      <c r="S26" s="8">
        <f t="shared" si="6"/>
        <v>1</v>
      </c>
      <c r="T26" s="7">
        <f t="shared" si="7"/>
        <v>0</v>
      </c>
    </row>
    <row r="27" spans="11:20" x14ac:dyDescent="0.25">
      <c r="K27" s="1">
        <f t="shared" si="0"/>
        <v>0</v>
      </c>
      <c r="L27" s="1">
        <f t="shared" si="1"/>
        <v>0</v>
      </c>
      <c r="M27" s="1">
        <f t="shared" si="2"/>
        <v>0</v>
      </c>
      <c r="N27" s="1">
        <f t="shared" si="3"/>
        <v>0</v>
      </c>
      <c r="O27" s="1">
        <f t="shared" si="4"/>
        <v>0</v>
      </c>
      <c r="P27" s="1">
        <f t="shared" si="5"/>
        <v>0</v>
      </c>
      <c r="S27" s="8">
        <f t="shared" si="6"/>
        <v>1</v>
      </c>
      <c r="T27" s="7">
        <f t="shared" si="7"/>
        <v>0</v>
      </c>
    </row>
    <row r="28" spans="11:20" x14ac:dyDescent="0.25">
      <c r="K28" s="1">
        <f t="shared" si="0"/>
        <v>0</v>
      </c>
      <c r="L28" s="1">
        <f t="shared" si="1"/>
        <v>0</v>
      </c>
      <c r="M28" s="1">
        <f t="shared" si="2"/>
        <v>0</v>
      </c>
      <c r="N28" s="1">
        <f t="shared" si="3"/>
        <v>0</v>
      </c>
      <c r="O28" s="1">
        <f t="shared" si="4"/>
        <v>0</v>
      </c>
      <c r="P28" s="1">
        <f t="shared" si="5"/>
        <v>0</v>
      </c>
      <c r="S28" s="8">
        <f t="shared" si="6"/>
        <v>1</v>
      </c>
      <c r="T28" s="7">
        <f t="shared" si="7"/>
        <v>0</v>
      </c>
    </row>
    <row r="29" spans="11:20" x14ac:dyDescent="0.25">
      <c r="K29" s="1">
        <f t="shared" si="0"/>
        <v>0</v>
      </c>
      <c r="L29" s="1">
        <f t="shared" si="1"/>
        <v>0</v>
      </c>
      <c r="M29" s="1">
        <f t="shared" si="2"/>
        <v>0</v>
      </c>
      <c r="N29" s="1">
        <f t="shared" si="3"/>
        <v>0</v>
      </c>
      <c r="O29" s="1">
        <f t="shared" si="4"/>
        <v>0</v>
      </c>
      <c r="P29" s="1">
        <f t="shared" si="5"/>
        <v>0</v>
      </c>
      <c r="S29" s="8">
        <f t="shared" si="6"/>
        <v>1</v>
      </c>
      <c r="T29" s="7">
        <f t="shared" si="7"/>
        <v>0</v>
      </c>
    </row>
    <row r="30" spans="11:20" x14ac:dyDescent="0.25">
      <c r="K30" s="1">
        <f t="shared" si="0"/>
        <v>0</v>
      </c>
      <c r="L30" s="1">
        <f t="shared" si="1"/>
        <v>0</v>
      </c>
      <c r="M30" s="1">
        <f t="shared" si="2"/>
        <v>0</v>
      </c>
      <c r="N30" s="1">
        <f t="shared" si="3"/>
        <v>0</v>
      </c>
      <c r="O30" s="1">
        <f t="shared" si="4"/>
        <v>0</v>
      </c>
      <c r="P30" s="1">
        <f t="shared" si="5"/>
        <v>0</v>
      </c>
      <c r="S30" s="8">
        <f t="shared" si="6"/>
        <v>1</v>
      </c>
      <c r="T30" s="7">
        <f t="shared" si="7"/>
        <v>0</v>
      </c>
    </row>
    <row r="31" spans="11:20" x14ac:dyDescent="0.25">
      <c r="K31" s="1">
        <f t="shared" si="0"/>
        <v>0</v>
      </c>
      <c r="L31" s="1">
        <f t="shared" si="1"/>
        <v>0</v>
      </c>
      <c r="M31" s="1">
        <f t="shared" si="2"/>
        <v>0</v>
      </c>
      <c r="N31" s="1">
        <f t="shared" si="3"/>
        <v>0</v>
      </c>
      <c r="O31" s="1">
        <f t="shared" si="4"/>
        <v>0</v>
      </c>
      <c r="P31" s="1">
        <f t="shared" si="5"/>
        <v>0</v>
      </c>
      <c r="S31" s="8">
        <f t="shared" si="6"/>
        <v>1</v>
      </c>
      <c r="T31" s="7">
        <f t="shared" si="7"/>
        <v>0</v>
      </c>
    </row>
    <row r="32" spans="11:20" x14ac:dyDescent="0.25">
      <c r="K32" s="1">
        <f t="shared" si="0"/>
        <v>0</v>
      </c>
      <c r="L32" s="1">
        <f t="shared" si="1"/>
        <v>0</v>
      </c>
      <c r="M32" s="1">
        <f t="shared" si="2"/>
        <v>0</v>
      </c>
      <c r="N32" s="1">
        <f t="shared" si="3"/>
        <v>0</v>
      </c>
      <c r="O32" s="1">
        <f t="shared" si="4"/>
        <v>0</v>
      </c>
      <c r="P32" s="1">
        <f t="shared" si="5"/>
        <v>0</v>
      </c>
      <c r="S32" s="8">
        <f t="shared" si="6"/>
        <v>1</v>
      </c>
      <c r="T32" s="7">
        <f t="shared" si="7"/>
        <v>0</v>
      </c>
    </row>
    <row r="33" spans="11:20" x14ac:dyDescent="0.25">
      <c r="K33" s="1">
        <f t="shared" si="0"/>
        <v>0</v>
      </c>
      <c r="L33" s="1">
        <f t="shared" si="1"/>
        <v>0</v>
      </c>
      <c r="M33" s="1">
        <f t="shared" si="2"/>
        <v>0</v>
      </c>
      <c r="N33" s="1">
        <f t="shared" si="3"/>
        <v>0</v>
      </c>
      <c r="O33" s="1">
        <f t="shared" si="4"/>
        <v>0</v>
      </c>
      <c r="P33" s="1">
        <f t="shared" si="5"/>
        <v>0</v>
      </c>
      <c r="S33" s="8">
        <f t="shared" si="6"/>
        <v>1</v>
      </c>
      <c r="T33" s="7">
        <f t="shared" si="7"/>
        <v>0</v>
      </c>
    </row>
    <row r="34" spans="11:20" x14ac:dyDescent="0.25">
      <c r="K34" s="1">
        <f t="shared" si="0"/>
        <v>0</v>
      </c>
      <c r="L34" s="1">
        <f t="shared" si="1"/>
        <v>0</v>
      </c>
      <c r="M34" s="1">
        <f t="shared" si="2"/>
        <v>0</v>
      </c>
      <c r="N34" s="1">
        <f t="shared" si="3"/>
        <v>0</v>
      </c>
      <c r="O34" s="1">
        <f t="shared" si="4"/>
        <v>0</v>
      </c>
      <c r="P34" s="1">
        <f t="shared" si="5"/>
        <v>0</v>
      </c>
      <c r="S34" s="8">
        <f t="shared" si="6"/>
        <v>1</v>
      </c>
      <c r="T34" s="7">
        <f t="shared" si="7"/>
        <v>0</v>
      </c>
    </row>
    <row r="35" spans="11:20" x14ac:dyDescent="0.25">
      <c r="K35" s="1">
        <f t="shared" si="0"/>
        <v>0</v>
      </c>
      <c r="L35" s="1">
        <f t="shared" si="1"/>
        <v>0</v>
      </c>
      <c r="M35" s="1">
        <f t="shared" si="2"/>
        <v>0</v>
      </c>
      <c r="N35" s="1">
        <f t="shared" si="3"/>
        <v>0</v>
      </c>
      <c r="O35" s="1">
        <f t="shared" si="4"/>
        <v>0</v>
      </c>
      <c r="P35" s="1">
        <f t="shared" si="5"/>
        <v>0</v>
      </c>
      <c r="S35" s="8">
        <f t="shared" si="6"/>
        <v>1</v>
      </c>
      <c r="T35" s="7">
        <f t="shared" si="7"/>
        <v>0</v>
      </c>
    </row>
    <row r="36" spans="11:20" x14ac:dyDescent="0.25">
      <c r="K36" s="1">
        <f t="shared" si="0"/>
        <v>0</v>
      </c>
      <c r="L36" s="1">
        <f t="shared" si="1"/>
        <v>0</v>
      </c>
      <c r="M36" s="1">
        <f t="shared" si="2"/>
        <v>0</v>
      </c>
      <c r="N36" s="1">
        <f t="shared" si="3"/>
        <v>0</v>
      </c>
      <c r="O36" s="1">
        <f t="shared" si="4"/>
        <v>0</v>
      </c>
      <c r="P36" s="1">
        <f t="shared" si="5"/>
        <v>0</v>
      </c>
      <c r="S36" s="8">
        <f t="shared" si="6"/>
        <v>1</v>
      </c>
      <c r="T36" s="7">
        <f t="shared" si="7"/>
        <v>0</v>
      </c>
    </row>
    <row r="37" spans="11:20" x14ac:dyDescent="0.25">
      <c r="K37" s="1">
        <f t="shared" si="0"/>
        <v>0</v>
      </c>
      <c r="L37" s="1">
        <f t="shared" si="1"/>
        <v>0</v>
      </c>
      <c r="M37" s="1">
        <f t="shared" si="2"/>
        <v>0</v>
      </c>
      <c r="N37" s="1">
        <f t="shared" si="3"/>
        <v>0</v>
      </c>
      <c r="O37" s="1">
        <f t="shared" si="4"/>
        <v>0</v>
      </c>
      <c r="P37" s="1">
        <f t="shared" si="5"/>
        <v>0</v>
      </c>
      <c r="S37" s="8">
        <f t="shared" si="6"/>
        <v>1</v>
      </c>
      <c r="T37" s="7">
        <f t="shared" si="7"/>
        <v>0</v>
      </c>
    </row>
    <row r="38" spans="11:20" x14ac:dyDescent="0.25">
      <c r="K38" s="1">
        <f t="shared" si="0"/>
        <v>0</v>
      </c>
      <c r="L38" s="1">
        <f t="shared" si="1"/>
        <v>0</v>
      </c>
      <c r="M38" s="1">
        <f t="shared" si="2"/>
        <v>0</v>
      </c>
      <c r="N38" s="1">
        <f t="shared" si="3"/>
        <v>0</v>
      </c>
      <c r="O38" s="1">
        <f t="shared" si="4"/>
        <v>0</v>
      </c>
      <c r="P38" s="1">
        <f t="shared" si="5"/>
        <v>0</v>
      </c>
      <c r="S38" s="8">
        <f t="shared" si="6"/>
        <v>1</v>
      </c>
      <c r="T38" s="7">
        <f t="shared" si="7"/>
        <v>0</v>
      </c>
    </row>
    <row r="39" spans="11:20" x14ac:dyDescent="0.25">
      <c r="K39" s="1">
        <f t="shared" si="0"/>
        <v>0</v>
      </c>
      <c r="L39" s="1">
        <f t="shared" si="1"/>
        <v>0</v>
      </c>
      <c r="M39" s="1">
        <f t="shared" si="2"/>
        <v>0</v>
      </c>
      <c r="N39" s="1">
        <f t="shared" si="3"/>
        <v>0</v>
      </c>
      <c r="O39" s="1">
        <f t="shared" si="4"/>
        <v>0</v>
      </c>
      <c r="P39" s="1">
        <f t="shared" si="5"/>
        <v>0</v>
      </c>
      <c r="S39" s="8">
        <f t="shared" si="6"/>
        <v>1</v>
      </c>
      <c r="T39" s="7">
        <f t="shared" si="7"/>
        <v>0</v>
      </c>
    </row>
    <row r="40" spans="11:20" x14ac:dyDescent="0.25">
      <c r="K40" s="1">
        <f t="shared" si="0"/>
        <v>0</v>
      </c>
      <c r="L40" s="1">
        <f t="shared" si="1"/>
        <v>0</v>
      </c>
      <c r="M40" s="1">
        <f t="shared" si="2"/>
        <v>0</v>
      </c>
      <c r="N40" s="1">
        <f t="shared" si="3"/>
        <v>0</v>
      </c>
      <c r="O40" s="1">
        <f t="shared" si="4"/>
        <v>0</v>
      </c>
      <c r="P40" s="1">
        <f t="shared" si="5"/>
        <v>0</v>
      </c>
      <c r="S40" s="8">
        <f t="shared" si="6"/>
        <v>1</v>
      </c>
      <c r="T40" s="7">
        <f t="shared" si="7"/>
        <v>0</v>
      </c>
    </row>
    <row r="41" spans="11:20" x14ac:dyDescent="0.25">
      <c r="K41" s="1">
        <f t="shared" si="0"/>
        <v>0</v>
      </c>
      <c r="L41" s="1">
        <f t="shared" si="1"/>
        <v>0</v>
      </c>
      <c r="M41" s="1">
        <f t="shared" si="2"/>
        <v>0</v>
      </c>
      <c r="N41" s="1">
        <f t="shared" si="3"/>
        <v>0</v>
      </c>
      <c r="O41" s="1">
        <f t="shared" si="4"/>
        <v>0</v>
      </c>
      <c r="P41" s="1">
        <f t="shared" si="5"/>
        <v>0</v>
      </c>
      <c r="S41" s="8">
        <f t="shared" si="6"/>
        <v>1</v>
      </c>
      <c r="T41" s="7">
        <f t="shared" si="7"/>
        <v>0</v>
      </c>
    </row>
    <row r="42" spans="11:20" x14ac:dyDescent="0.25">
      <c r="K42" s="1">
        <f t="shared" si="0"/>
        <v>0</v>
      </c>
      <c r="L42" s="1">
        <f t="shared" si="1"/>
        <v>0</v>
      </c>
      <c r="M42" s="1">
        <f t="shared" si="2"/>
        <v>0</v>
      </c>
      <c r="N42" s="1">
        <f t="shared" si="3"/>
        <v>0</v>
      </c>
      <c r="O42" s="1">
        <f t="shared" si="4"/>
        <v>0</v>
      </c>
      <c r="P42" s="1">
        <f t="shared" si="5"/>
        <v>0</v>
      </c>
      <c r="S42" s="8">
        <f t="shared" si="6"/>
        <v>1</v>
      </c>
      <c r="T42" s="7">
        <f t="shared" si="7"/>
        <v>0</v>
      </c>
    </row>
    <row r="43" spans="11:20" x14ac:dyDescent="0.25">
      <c r="K43" s="1">
        <f t="shared" si="0"/>
        <v>0</v>
      </c>
      <c r="L43" s="1">
        <f t="shared" si="1"/>
        <v>0</v>
      </c>
      <c r="M43" s="1">
        <f t="shared" si="2"/>
        <v>0</v>
      </c>
      <c r="N43" s="1">
        <f t="shared" si="3"/>
        <v>0</v>
      </c>
      <c r="O43" s="1">
        <f t="shared" si="4"/>
        <v>0</v>
      </c>
      <c r="P43" s="1">
        <f t="shared" si="5"/>
        <v>0</v>
      </c>
      <c r="S43" s="8">
        <f t="shared" si="6"/>
        <v>1</v>
      </c>
      <c r="T43" s="7">
        <f t="shared" si="7"/>
        <v>0</v>
      </c>
    </row>
    <row r="44" spans="11:20" x14ac:dyDescent="0.25">
      <c r="K44" s="1">
        <f t="shared" si="0"/>
        <v>0</v>
      </c>
      <c r="L44" s="1">
        <f t="shared" si="1"/>
        <v>0</v>
      </c>
      <c r="M44" s="1">
        <f t="shared" si="2"/>
        <v>0</v>
      </c>
      <c r="N44" s="1">
        <f t="shared" si="3"/>
        <v>0</v>
      </c>
      <c r="O44" s="1">
        <f t="shared" si="4"/>
        <v>0</v>
      </c>
      <c r="P44" s="1">
        <f t="shared" si="5"/>
        <v>0</v>
      </c>
      <c r="S44" s="8">
        <f t="shared" si="6"/>
        <v>1</v>
      </c>
      <c r="T44" s="7">
        <f t="shared" si="7"/>
        <v>0</v>
      </c>
    </row>
    <row r="45" spans="11:20" x14ac:dyDescent="0.25">
      <c r="K45" s="1">
        <f t="shared" si="0"/>
        <v>0</v>
      </c>
      <c r="L45" s="1">
        <f t="shared" si="1"/>
        <v>0</v>
      </c>
      <c r="M45" s="1">
        <f t="shared" si="2"/>
        <v>0</v>
      </c>
      <c r="N45" s="1">
        <f t="shared" si="3"/>
        <v>0</v>
      </c>
      <c r="O45" s="1">
        <f t="shared" si="4"/>
        <v>0</v>
      </c>
      <c r="P45" s="1">
        <f t="shared" si="5"/>
        <v>0</v>
      </c>
      <c r="S45" s="8">
        <f t="shared" si="6"/>
        <v>1</v>
      </c>
      <c r="T45" s="7">
        <f t="shared" si="7"/>
        <v>0</v>
      </c>
    </row>
    <row r="46" spans="11:20" x14ac:dyDescent="0.25">
      <c r="K46" s="1">
        <f t="shared" si="0"/>
        <v>0</v>
      </c>
      <c r="L46" s="1">
        <f t="shared" si="1"/>
        <v>0</v>
      </c>
      <c r="M46" s="1">
        <f t="shared" si="2"/>
        <v>0</v>
      </c>
      <c r="N46" s="1">
        <f t="shared" si="3"/>
        <v>0</v>
      </c>
      <c r="O46" s="1">
        <f t="shared" si="4"/>
        <v>0</v>
      </c>
      <c r="P46" s="1">
        <f t="shared" si="5"/>
        <v>0</v>
      </c>
      <c r="S46" s="8">
        <f t="shared" si="6"/>
        <v>1</v>
      </c>
      <c r="T46" s="7">
        <f t="shared" si="7"/>
        <v>0</v>
      </c>
    </row>
    <row r="47" spans="11:20" x14ac:dyDescent="0.25">
      <c r="K47" s="1">
        <f t="shared" si="0"/>
        <v>0</v>
      </c>
      <c r="L47" s="1">
        <f t="shared" si="1"/>
        <v>0</v>
      </c>
      <c r="M47" s="1">
        <f t="shared" si="2"/>
        <v>0</v>
      </c>
      <c r="N47" s="1">
        <f t="shared" si="3"/>
        <v>0</v>
      </c>
      <c r="O47" s="1">
        <f t="shared" si="4"/>
        <v>0</v>
      </c>
      <c r="P47" s="1">
        <f t="shared" si="5"/>
        <v>0</v>
      </c>
      <c r="S47" s="8">
        <f t="shared" si="6"/>
        <v>1</v>
      </c>
      <c r="T47" s="7">
        <f t="shared" si="7"/>
        <v>0</v>
      </c>
    </row>
    <row r="48" spans="11:20" x14ac:dyDescent="0.25">
      <c r="K48" s="1">
        <f t="shared" si="0"/>
        <v>0</v>
      </c>
      <c r="L48" s="1">
        <f t="shared" si="1"/>
        <v>0</v>
      </c>
      <c r="M48" s="1">
        <f t="shared" si="2"/>
        <v>0</v>
      </c>
      <c r="N48" s="1">
        <f t="shared" si="3"/>
        <v>0</v>
      </c>
      <c r="O48" s="1">
        <f t="shared" si="4"/>
        <v>0</v>
      </c>
      <c r="P48" s="1">
        <f t="shared" si="5"/>
        <v>0</v>
      </c>
      <c r="S48" s="8">
        <f t="shared" si="6"/>
        <v>1</v>
      </c>
      <c r="T48" s="7">
        <f t="shared" si="7"/>
        <v>0</v>
      </c>
    </row>
    <row r="49" spans="11:20" x14ac:dyDescent="0.25">
      <c r="K49" s="1">
        <f t="shared" si="0"/>
        <v>0</v>
      </c>
      <c r="L49" s="1">
        <f t="shared" si="1"/>
        <v>0</v>
      </c>
      <c r="M49" s="1">
        <f t="shared" si="2"/>
        <v>0</v>
      </c>
      <c r="N49" s="1">
        <f t="shared" si="3"/>
        <v>0</v>
      </c>
      <c r="O49" s="1">
        <f t="shared" si="4"/>
        <v>0</v>
      </c>
      <c r="P49" s="1">
        <f t="shared" si="5"/>
        <v>0</v>
      </c>
      <c r="S49" s="8">
        <f t="shared" si="6"/>
        <v>1</v>
      </c>
      <c r="T49" s="7">
        <f t="shared" si="7"/>
        <v>0</v>
      </c>
    </row>
    <row r="50" spans="11:20" x14ac:dyDescent="0.25">
      <c r="K50" s="1">
        <f t="shared" si="0"/>
        <v>0</v>
      </c>
      <c r="L50" s="1">
        <f t="shared" si="1"/>
        <v>0</v>
      </c>
      <c r="M50" s="1">
        <f t="shared" si="2"/>
        <v>0</v>
      </c>
      <c r="N50" s="1">
        <f t="shared" si="3"/>
        <v>0</v>
      </c>
      <c r="O50" s="1">
        <f t="shared" si="4"/>
        <v>0</v>
      </c>
      <c r="P50" s="1">
        <f t="shared" si="5"/>
        <v>0</v>
      </c>
      <c r="S50" s="8">
        <f t="shared" si="6"/>
        <v>1</v>
      </c>
      <c r="T50" s="7">
        <f t="shared" si="7"/>
        <v>0</v>
      </c>
    </row>
    <row r="51" spans="11:20" x14ac:dyDescent="0.25">
      <c r="K51" s="1">
        <f t="shared" si="0"/>
        <v>0</v>
      </c>
      <c r="L51" s="1">
        <f t="shared" si="1"/>
        <v>0</v>
      </c>
      <c r="M51" s="1">
        <f t="shared" si="2"/>
        <v>0</v>
      </c>
      <c r="N51" s="1">
        <f t="shared" si="3"/>
        <v>0</v>
      </c>
      <c r="O51" s="1">
        <f t="shared" si="4"/>
        <v>0</v>
      </c>
      <c r="P51" s="1">
        <f t="shared" si="5"/>
        <v>0</v>
      </c>
      <c r="S51" s="8">
        <f t="shared" si="6"/>
        <v>1</v>
      </c>
      <c r="T51" s="7">
        <f t="shared" si="7"/>
        <v>0</v>
      </c>
    </row>
    <row r="52" spans="11:20" x14ac:dyDescent="0.25">
      <c r="K52" s="1">
        <f t="shared" si="0"/>
        <v>0</v>
      </c>
      <c r="L52" s="1">
        <f t="shared" si="1"/>
        <v>0</v>
      </c>
      <c r="M52" s="1">
        <f t="shared" si="2"/>
        <v>0</v>
      </c>
      <c r="N52" s="1">
        <f t="shared" si="3"/>
        <v>0</v>
      </c>
      <c r="O52" s="1">
        <f t="shared" si="4"/>
        <v>0</v>
      </c>
      <c r="P52" s="1">
        <f t="shared" si="5"/>
        <v>0</v>
      </c>
      <c r="S52" s="9">
        <f t="shared" si="6"/>
        <v>1</v>
      </c>
      <c r="T52" s="7">
        <f t="shared" si="7"/>
        <v>0</v>
      </c>
    </row>
    <row r="53" spans="11:20" x14ac:dyDescent="0.25">
      <c r="K53" s="1">
        <f t="shared" si="0"/>
        <v>0</v>
      </c>
      <c r="L53" s="1">
        <f t="shared" si="1"/>
        <v>0</v>
      </c>
      <c r="M53" s="1">
        <f t="shared" si="2"/>
        <v>0</v>
      </c>
      <c r="N53" s="1">
        <f t="shared" si="3"/>
        <v>0</v>
      </c>
      <c r="O53" s="1">
        <f t="shared" si="4"/>
        <v>0</v>
      </c>
      <c r="P53" s="1">
        <f t="shared" si="5"/>
        <v>0</v>
      </c>
      <c r="S53" s="9">
        <f t="shared" si="6"/>
        <v>1</v>
      </c>
      <c r="T53" s="7">
        <f t="shared" si="7"/>
        <v>0</v>
      </c>
    </row>
    <row r="54" spans="11:20" x14ac:dyDescent="0.25">
      <c r="K54" s="1">
        <f t="shared" si="0"/>
        <v>0</v>
      </c>
      <c r="L54" s="1">
        <f t="shared" si="1"/>
        <v>0</v>
      </c>
      <c r="M54" s="1">
        <f t="shared" si="2"/>
        <v>0</v>
      </c>
      <c r="N54" s="1">
        <f t="shared" si="3"/>
        <v>0</v>
      </c>
      <c r="O54" s="1">
        <f t="shared" si="4"/>
        <v>0</v>
      </c>
      <c r="P54" s="1">
        <f t="shared" si="5"/>
        <v>0</v>
      </c>
      <c r="S54" s="9">
        <f t="shared" si="6"/>
        <v>1</v>
      </c>
      <c r="T54" s="7">
        <f t="shared" si="7"/>
        <v>0</v>
      </c>
    </row>
    <row r="55" spans="11:20" x14ac:dyDescent="0.25">
      <c r="K55" s="1">
        <f t="shared" si="0"/>
        <v>0</v>
      </c>
      <c r="L55" s="1">
        <f t="shared" si="1"/>
        <v>0</v>
      </c>
      <c r="M55" s="1">
        <f t="shared" si="2"/>
        <v>0</v>
      </c>
      <c r="N55" s="1">
        <f t="shared" si="3"/>
        <v>0</v>
      </c>
      <c r="O55" s="1">
        <f t="shared" si="4"/>
        <v>0</v>
      </c>
      <c r="P55" s="1">
        <f t="shared" si="5"/>
        <v>0</v>
      </c>
      <c r="S55" s="9">
        <f t="shared" si="6"/>
        <v>1</v>
      </c>
      <c r="T55" s="7">
        <f t="shared" si="7"/>
        <v>0</v>
      </c>
    </row>
    <row r="56" spans="11:20" x14ac:dyDescent="0.25">
      <c r="K56" s="1">
        <f t="shared" si="0"/>
        <v>0</v>
      </c>
      <c r="L56" s="1">
        <f t="shared" si="1"/>
        <v>0</v>
      </c>
      <c r="M56" s="1">
        <f t="shared" si="2"/>
        <v>0</v>
      </c>
      <c r="N56" s="1">
        <f t="shared" si="3"/>
        <v>0</v>
      </c>
      <c r="O56" s="1">
        <f t="shared" si="4"/>
        <v>0</v>
      </c>
      <c r="P56" s="1">
        <f t="shared" si="5"/>
        <v>0</v>
      </c>
      <c r="S56" s="9">
        <f t="shared" si="6"/>
        <v>1</v>
      </c>
      <c r="T56" s="7">
        <f t="shared" si="7"/>
        <v>0</v>
      </c>
    </row>
    <row r="57" spans="11:20" x14ac:dyDescent="0.25">
      <c r="K57" s="1">
        <f t="shared" si="0"/>
        <v>0</v>
      </c>
      <c r="L57" s="1">
        <f t="shared" si="1"/>
        <v>0</v>
      </c>
      <c r="M57" s="1">
        <f t="shared" si="2"/>
        <v>0</v>
      </c>
      <c r="N57" s="1">
        <f t="shared" si="3"/>
        <v>0</v>
      </c>
      <c r="O57" s="1">
        <f t="shared" si="4"/>
        <v>0</v>
      </c>
      <c r="P57" s="1">
        <f t="shared" si="5"/>
        <v>0</v>
      </c>
      <c r="S57" s="9">
        <f t="shared" si="6"/>
        <v>1</v>
      </c>
      <c r="T57" s="7">
        <f t="shared" si="7"/>
        <v>0</v>
      </c>
    </row>
    <row r="58" spans="11:20" x14ac:dyDescent="0.25">
      <c r="K58" s="1">
        <f t="shared" si="0"/>
        <v>0</v>
      </c>
      <c r="L58" s="1">
        <f t="shared" si="1"/>
        <v>0</v>
      </c>
      <c r="M58" s="1">
        <f t="shared" si="2"/>
        <v>0</v>
      </c>
      <c r="N58" s="1">
        <f t="shared" si="3"/>
        <v>0</v>
      </c>
      <c r="O58" s="1">
        <f t="shared" si="4"/>
        <v>0</v>
      </c>
      <c r="P58" s="1">
        <f t="shared" si="5"/>
        <v>0</v>
      </c>
      <c r="S58" s="9">
        <f t="shared" si="6"/>
        <v>1</v>
      </c>
      <c r="T58" s="7">
        <f t="shared" si="7"/>
        <v>0</v>
      </c>
    </row>
    <row r="59" spans="11:20" x14ac:dyDescent="0.25">
      <c r="K59" s="1">
        <f t="shared" si="0"/>
        <v>0</v>
      </c>
      <c r="L59" s="1">
        <f t="shared" si="1"/>
        <v>0</v>
      </c>
      <c r="M59" s="1">
        <f t="shared" si="2"/>
        <v>0</v>
      </c>
      <c r="N59" s="1">
        <f t="shared" si="3"/>
        <v>0</v>
      </c>
      <c r="O59" s="1">
        <f t="shared" si="4"/>
        <v>0</v>
      </c>
      <c r="P59" s="1">
        <f t="shared" si="5"/>
        <v>0</v>
      </c>
      <c r="S59" s="9">
        <f t="shared" si="6"/>
        <v>1</v>
      </c>
      <c r="T59" s="7">
        <f t="shared" si="7"/>
        <v>0</v>
      </c>
    </row>
    <row r="60" spans="11:20" x14ac:dyDescent="0.25">
      <c r="K60" s="1">
        <f t="shared" si="0"/>
        <v>0</v>
      </c>
      <c r="L60" s="1">
        <f t="shared" si="1"/>
        <v>0</v>
      </c>
      <c r="M60" s="1">
        <f t="shared" si="2"/>
        <v>0</v>
      </c>
      <c r="N60" s="1">
        <f t="shared" si="3"/>
        <v>0</v>
      </c>
      <c r="O60" s="1">
        <f t="shared" si="4"/>
        <v>0</v>
      </c>
      <c r="P60" s="1">
        <f t="shared" si="5"/>
        <v>0</v>
      </c>
      <c r="S60" s="9">
        <f t="shared" si="6"/>
        <v>1</v>
      </c>
      <c r="T60" s="7">
        <f t="shared" si="7"/>
        <v>0</v>
      </c>
    </row>
    <row r="61" spans="11:20" x14ac:dyDescent="0.25">
      <c r="K61" s="1">
        <f t="shared" si="0"/>
        <v>0</v>
      </c>
      <c r="L61" s="1">
        <f t="shared" si="1"/>
        <v>0</v>
      </c>
      <c r="M61" s="1">
        <f t="shared" si="2"/>
        <v>0</v>
      </c>
      <c r="N61" s="1">
        <f t="shared" si="3"/>
        <v>0</v>
      </c>
      <c r="O61" s="1">
        <f t="shared" si="4"/>
        <v>0</v>
      </c>
      <c r="P61" s="1">
        <f t="shared" si="5"/>
        <v>0</v>
      </c>
      <c r="S61" s="9">
        <f t="shared" si="6"/>
        <v>1</v>
      </c>
      <c r="T61" s="7">
        <f t="shared" si="7"/>
        <v>0</v>
      </c>
    </row>
    <row r="62" spans="11:20" x14ac:dyDescent="0.25">
      <c r="K62" s="1">
        <f t="shared" si="0"/>
        <v>0</v>
      </c>
      <c r="L62" s="1">
        <f t="shared" si="1"/>
        <v>0</v>
      </c>
      <c r="M62" s="1">
        <f t="shared" si="2"/>
        <v>0</v>
      </c>
      <c r="N62" s="1">
        <f t="shared" si="3"/>
        <v>0</v>
      </c>
      <c r="O62" s="1">
        <f t="shared" si="4"/>
        <v>0</v>
      </c>
      <c r="P62" s="1">
        <f t="shared" si="5"/>
        <v>0</v>
      </c>
      <c r="S62" s="9">
        <f t="shared" si="6"/>
        <v>1</v>
      </c>
      <c r="T62" s="7">
        <f t="shared" si="7"/>
        <v>0</v>
      </c>
    </row>
    <row r="63" spans="11:20" x14ac:dyDescent="0.25">
      <c r="K63" s="1">
        <f t="shared" si="0"/>
        <v>0</v>
      </c>
      <c r="L63" s="1">
        <f t="shared" si="1"/>
        <v>0</v>
      </c>
      <c r="M63" s="1">
        <f t="shared" si="2"/>
        <v>0</v>
      </c>
      <c r="N63" s="1">
        <f t="shared" si="3"/>
        <v>0</v>
      </c>
      <c r="O63" s="1">
        <f t="shared" si="4"/>
        <v>0</v>
      </c>
      <c r="P63" s="1">
        <f t="shared" si="5"/>
        <v>0</v>
      </c>
      <c r="S63" s="9">
        <f t="shared" si="6"/>
        <v>1</v>
      </c>
      <c r="T63" s="7">
        <f t="shared" si="7"/>
        <v>0</v>
      </c>
    </row>
    <row r="64" spans="11:20" x14ac:dyDescent="0.25">
      <c r="K64" s="1">
        <f t="shared" si="0"/>
        <v>0</v>
      </c>
      <c r="L64" s="1">
        <f t="shared" si="1"/>
        <v>0</v>
      </c>
      <c r="M64" s="1">
        <f t="shared" si="2"/>
        <v>0</v>
      </c>
      <c r="N64" s="1">
        <f t="shared" si="3"/>
        <v>0</v>
      </c>
      <c r="O64" s="1">
        <f t="shared" si="4"/>
        <v>0</v>
      </c>
      <c r="P64" s="1">
        <f t="shared" si="5"/>
        <v>0</v>
      </c>
      <c r="S64" s="9">
        <f t="shared" si="6"/>
        <v>1</v>
      </c>
      <c r="T64" s="7">
        <f t="shared" si="7"/>
        <v>0</v>
      </c>
    </row>
    <row r="65" spans="11:20" x14ac:dyDescent="0.25">
      <c r="K65" s="1">
        <f t="shared" si="0"/>
        <v>0</v>
      </c>
      <c r="L65" s="1">
        <f t="shared" si="1"/>
        <v>0</v>
      </c>
      <c r="M65" s="1">
        <f t="shared" si="2"/>
        <v>0</v>
      </c>
      <c r="N65" s="1">
        <f t="shared" si="3"/>
        <v>0</v>
      </c>
      <c r="O65" s="1">
        <f t="shared" si="4"/>
        <v>0</v>
      </c>
      <c r="P65" s="1">
        <f t="shared" si="5"/>
        <v>0</v>
      </c>
      <c r="S65" s="9">
        <f t="shared" si="6"/>
        <v>1</v>
      </c>
      <c r="T65" s="7">
        <f t="shared" si="7"/>
        <v>0</v>
      </c>
    </row>
    <row r="66" spans="11:20" x14ac:dyDescent="0.25">
      <c r="K66" s="1">
        <f t="shared" si="0"/>
        <v>0</v>
      </c>
      <c r="L66" s="1">
        <f t="shared" si="1"/>
        <v>0</v>
      </c>
      <c r="M66" s="1">
        <f t="shared" si="2"/>
        <v>0</v>
      </c>
      <c r="N66" s="1">
        <f t="shared" si="3"/>
        <v>0</v>
      </c>
      <c r="O66" s="1">
        <f t="shared" si="4"/>
        <v>0</v>
      </c>
      <c r="P66" s="1">
        <f t="shared" si="5"/>
        <v>0</v>
      </c>
      <c r="S66" s="9">
        <f t="shared" si="6"/>
        <v>1</v>
      </c>
      <c r="T66" s="7">
        <f t="shared" si="7"/>
        <v>0</v>
      </c>
    </row>
    <row r="67" spans="11:20" x14ac:dyDescent="0.25">
      <c r="K67" s="1">
        <f t="shared" si="0"/>
        <v>0</v>
      </c>
      <c r="L67" s="1">
        <f t="shared" si="1"/>
        <v>0</v>
      </c>
      <c r="M67" s="1">
        <f t="shared" si="2"/>
        <v>0</v>
      </c>
      <c r="N67" s="1">
        <f t="shared" si="3"/>
        <v>0</v>
      </c>
      <c r="O67" s="1">
        <f t="shared" si="4"/>
        <v>0</v>
      </c>
      <c r="P67" s="1">
        <f t="shared" si="5"/>
        <v>0</v>
      </c>
      <c r="S67" s="9">
        <f t="shared" si="6"/>
        <v>1</v>
      </c>
      <c r="T67" s="7">
        <f t="shared" si="7"/>
        <v>0</v>
      </c>
    </row>
    <row r="68" spans="11:20" x14ac:dyDescent="0.25">
      <c r="K68" s="1">
        <f t="shared" ref="K68:K103" si="8">IF(OR(J68="KT YET TO SCHEDULE",J68="KT COMPLETED",J68="FIt COMPLETED",J68="UAT COMPLETED",J68="CONFIRMATION RECEIVED",J68="Document sent Awaiting confirmation",J68="FIT IN PROGRESS",J68="UAT IN PROGRESS",),1,0)</f>
        <v>0</v>
      </c>
      <c r="L68" s="1">
        <f t="shared" ref="L68:L103" si="9">IF(OR(J68="KT COMPLETED",J68="FIt COMPLETED",J68="UAT COMPLETED",J68="CONFIRMATION RECEIVED",J68="Document sent Awaiting confirmation",J68="FIT IN PROGRESS",J68="UAT IN PROGRESS"),1,0)</f>
        <v>0</v>
      </c>
      <c r="M68" s="1">
        <f t="shared" ref="M68:M103" si="10">IF(OR(J68="FIt COMPLETED",J68="UAT COMPLETED",J68="CONFIRMATION RECEIVED",J68="Document sent Awaiting confirmation",J68="UAT IN PROGRESS"),1,0)</f>
        <v>0</v>
      </c>
      <c r="N68" s="1">
        <f t="shared" ref="N68:N103" si="11">IF(OR(J68="UAT COMPLETED",J68="CONFIRMATION RECEIVED",J68="Document sent Awaiting confirmation"),1,0)</f>
        <v>0</v>
      </c>
      <c r="O68" s="1">
        <f t="shared" ref="O68:O103" si="12">IF(OR(J68="UAT COMPLETED",J68="CONFIRMATION RECEIVED"),1,0)</f>
        <v>0</v>
      </c>
      <c r="P68" s="1">
        <f t="shared" ref="P68:P103" si="13">IF(J68="CONFIRMATION RECEIVED",1,0)</f>
        <v>0</v>
      </c>
      <c r="S68" s="9">
        <f t="shared" ref="S68:S103" si="14">1-T68</f>
        <v>1</v>
      </c>
      <c r="T68" s="7">
        <f t="shared" ref="T68:T103" si="15">COUNTIF(K68:P68,1)/6</f>
        <v>0</v>
      </c>
    </row>
    <row r="69" spans="11:20" x14ac:dyDescent="0.25">
      <c r="K69" s="1">
        <f t="shared" si="8"/>
        <v>0</v>
      </c>
      <c r="L69" s="1">
        <f t="shared" si="9"/>
        <v>0</v>
      </c>
      <c r="M69" s="1">
        <f t="shared" si="10"/>
        <v>0</v>
      </c>
      <c r="N69" s="1">
        <f t="shared" si="11"/>
        <v>0</v>
      </c>
      <c r="O69" s="1">
        <f t="shared" si="12"/>
        <v>0</v>
      </c>
      <c r="P69" s="1">
        <f t="shared" si="13"/>
        <v>0</v>
      </c>
      <c r="S69" s="9">
        <f t="shared" si="14"/>
        <v>1</v>
      </c>
      <c r="T69" s="7">
        <f t="shared" si="15"/>
        <v>0</v>
      </c>
    </row>
    <row r="70" spans="11:20" x14ac:dyDescent="0.25">
      <c r="K70" s="1">
        <f t="shared" si="8"/>
        <v>0</v>
      </c>
      <c r="L70" s="1">
        <f t="shared" si="9"/>
        <v>0</v>
      </c>
      <c r="M70" s="1">
        <f t="shared" si="10"/>
        <v>0</v>
      </c>
      <c r="N70" s="1">
        <f t="shared" si="11"/>
        <v>0</v>
      </c>
      <c r="O70" s="1">
        <f t="shared" si="12"/>
        <v>0</v>
      </c>
      <c r="P70" s="1">
        <f t="shared" si="13"/>
        <v>0</v>
      </c>
      <c r="S70" s="9">
        <f t="shared" si="14"/>
        <v>1</v>
      </c>
      <c r="T70" s="7">
        <f t="shared" si="15"/>
        <v>0</v>
      </c>
    </row>
    <row r="71" spans="11:20" x14ac:dyDescent="0.25">
      <c r="K71" s="1">
        <f t="shared" si="8"/>
        <v>0</v>
      </c>
      <c r="L71" s="1">
        <f t="shared" si="9"/>
        <v>0</v>
      </c>
      <c r="M71" s="1">
        <f t="shared" si="10"/>
        <v>0</v>
      </c>
      <c r="N71" s="1">
        <f t="shared" si="11"/>
        <v>0</v>
      </c>
      <c r="O71" s="1">
        <f t="shared" si="12"/>
        <v>0</v>
      </c>
      <c r="P71" s="1">
        <f t="shared" si="13"/>
        <v>0</v>
      </c>
      <c r="S71" s="9">
        <f t="shared" si="14"/>
        <v>1</v>
      </c>
      <c r="T71" s="7">
        <f t="shared" si="15"/>
        <v>0</v>
      </c>
    </row>
    <row r="72" spans="11:20" x14ac:dyDescent="0.25">
      <c r="K72" s="1">
        <f t="shared" si="8"/>
        <v>0</v>
      </c>
      <c r="L72" s="1">
        <f t="shared" si="9"/>
        <v>0</v>
      </c>
      <c r="M72" s="1">
        <f t="shared" si="10"/>
        <v>0</v>
      </c>
      <c r="N72" s="1">
        <f t="shared" si="11"/>
        <v>0</v>
      </c>
      <c r="O72" s="1">
        <f t="shared" si="12"/>
        <v>0</v>
      </c>
      <c r="P72" s="1">
        <f t="shared" si="13"/>
        <v>0</v>
      </c>
      <c r="S72" s="9">
        <f t="shared" si="14"/>
        <v>1</v>
      </c>
      <c r="T72" s="7">
        <f t="shared" si="15"/>
        <v>0</v>
      </c>
    </row>
    <row r="73" spans="11:20" x14ac:dyDescent="0.25">
      <c r="K73" s="1">
        <f t="shared" si="8"/>
        <v>0</v>
      </c>
      <c r="L73" s="1">
        <f t="shared" si="9"/>
        <v>0</v>
      </c>
      <c r="M73" s="1">
        <f t="shared" si="10"/>
        <v>0</v>
      </c>
      <c r="N73" s="1">
        <f t="shared" si="11"/>
        <v>0</v>
      </c>
      <c r="O73" s="1">
        <f t="shared" si="12"/>
        <v>0</v>
      </c>
      <c r="P73" s="1">
        <f t="shared" si="13"/>
        <v>0</v>
      </c>
      <c r="S73" s="9">
        <f t="shared" si="14"/>
        <v>1</v>
      </c>
      <c r="T73" s="7">
        <f t="shared" si="15"/>
        <v>0</v>
      </c>
    </row>
    <row r="74" spans="11:20" x14ac:dyDescent="0.25">
      <c r="K74" s="1">
        <f t="shared" si="8"/>
        <v>0</v>
      </c>
      <c r="L74" s="1">
        <f t="shared" si="9"/>
        <v>0</v>
      </c>
      <c r="M74" s="1">
        <f t="shared" si="10"/>
        <v>0</v>
      </c>
      <c r="N74" s="1">
        <f t="shared" si="11"/>
        <v>0</v>
      </c>
      <c r="O74" s="1">
        <f t="shared" si="12"/>
        <v>0</v>
      </c>
      <c r="P74" s="1">
        <f t="shared" si="13"/>
        <v>0</v>
      </c>
      <c r="S74" s="9">
        <f t="shared" si="14"/>
        <v>1</v>
      </c>
      <c r="T74" s="7">
        <f t="shared" si="15"/>
        <v>0</v>
      </c>
    </row>
    <row r="75" spans="11:20" x14ac:dyDescent="0.25">
      <c r="K75" s="1">
        <f t="shared" si="8"/>
        <v>0</v>
      </c>
      <c r="L75" s="1">
        <f t="shared" si="9"/>
        <v>0</v>
      </c>
      <c r="M75" s="1">
        <f t="shared" si="10"/>
        <v>0</v>
      </c>
      <c r="N75" s="1">
        <f t="shared" si="11"/>
        <v>0</v>
      </c>
      <c r="O75" s="1">
        <f t="shared" si="12"/>
        <v>0</v>
      </c>
      <c r="P75" s="1">
        <f t="shared" si="13"/>
        <v>0</v>
      </c>
      <c r="S75" s="9">
        <f t="shared" si="14"/>
        <v>1</v>
      </c>
      <c r="T75" s="7">
        <f t="shared" si="15"/>
        <v>0</v>
      </c>
    </row>
    <row r="76" spans="11:20" x14ac:dyDescent="0.25">
      <c r="K76" s="1">
        <f t="shared" si="8"/>
        <v>0</v>
      </c>
      <c r="L76" s="1">
        <f t="shared" si="9"/>
        <v>0</v>
      </c>
      <c r="M76" s="1">
        <f t="shared" si="10"/>
        <v>0</v>
      </c>
      <c r="N76" s="1">
        <f t="shared" si="11"/>
        <v>0</v>
      </c>
      <c r="O76" s="1">
        <f t="shared" si="12"/>
        <v>0</v>
      </c>
      <c r="P76" s="1">
        <f t="shared" si="13"/>
        <v>0</v>
      </c>
      <c r="S76" s="9">
        <f t="shared" si="14"/>
        <v>1</v>
      </c>
      <c r="T76" s="7">
        <f t="shared" si="15"/>
        <v>0</v>
      </c>
    </row>
    <row r="77" spans="11:20" x14ac:dyDescent="0.25">
      <c r="K77" s="1">
        <f t="shared" si="8"/>
        <v>0</v>
      </c>
      <c r="L77" s="1">
        <f t="shared" si="9"/>
        <v>0</v>
      </c>
      <c r="M77" s="1">
        <f t="shared" si="10"/>
        <v>0</v>
      </c>
      <c r="N77" s="1">
        <f t="shared" si="11"/>
        <v>0</v>
      </c>
      <c r="O77" s="1">
        <f t="shared" si="12"/>
        <v>0</v>
      </c>
      <c r="P77" s="1">
        <f t="shared" si="13"/>
        <v>0</v>
      </c>
      <c r="S77" s="9">
        <f t="shared" si="14"/>
        <v>1</v>
      </c>
      <c r="T77" s="7">
        <f t="shared" si="15"/>
        <v>0</v>
      </c>
    </row>
    <row r="78" spans="11:20" x14ac:dyDescent="0.25">
      <c r="K78" s="1">
        <f t="shared" si="8"/>
        <v>0</v>
      </c>
      <c r="L78" s="1">
        <f t="shared" si="9"/>
        <v>0</v>
      </c>
      <c r="M78" s="1">
        <f t="shared" si="10"/>
        <v>0</v>
      </c>
      <c r="N78" s="1">
        <f t="shared" si="11"/>
        <v>0</v>
      </c>
      <c r="O78" s="1">
        <f t="shared" si="12"/>
        <v>0</v>
      </c>
      <c r="P78" s="1">
        <f t="shared" si="13"/>
        <v>0</v>
      </c>
      <c r="S78" s="9">
        <f t="shared" si="14"/>
        <v>1</v>
      </c>
      <c r="T78" s="7">
        <f t="shared" si="15"/>
        <v>0</v>
      </c>
    </row>
    <row r="79" spans="11:20" x14ac:dyDescent="0.25">
      <c r="K79" s="1">
        <f t="shared" si="8"/>
        <v>0</v>
      </c>
      <c r="L79" s="1">
        <f t="shared" si="9"/>
        <v>0</v>
      </c>
      <c r="M79" s="1">
        <f t="shared" si="10"/>
        <v>0</v>
      </c>
      <c r="N79" s="1">
        <f t="shared" si="11"/>
        <v>0</v>
      </c>
      <c r="O79" s="1">
        <f t="shared" si="12"/>
        <v>0</v>
      </c>
      <c r="P79" s="1">
        <f t="shared" si="13"/>
        <v>0</v>
      </c>
      <c r="S79" s="9">
        <f t="shared" si="14"/>
        <v>1</v>
      </c>
      <c r="T79" s="7">
        <f t="shared" si="15"/>
        <v>0</v>
      </c>
    </row>
    <row r="80" spans="11:20" x14ac:dyDescent="0.25">
      <c r="K80" s="1">
        <f t="shared" si="8"/>
        <v>0</v>
      </c>
      <c r="L80" s="1">
        <f t="shared" si="9"/>
        <v>0</v>
      </c>
      <c r="M80" s="1">
        <f t="shared" si="10"/>
        <v>0</v>
      </c>
      <c r="N80" s="1">
        <f t="shared" si="11"/>
        <v>0</v>
      </c>
      <c r="O80" s="1">
        <f t="shared" si="12"/>
        <v>0</v>
      </c>
      <c r="P80" s="1">
        <f t="shared" si="13"/>
        <v>0</v>
      </c>
      <c r="S80" s="9">
        <f t="shared" si="14"/>
        <v>1</v>
      </c>
      <c r="T80" s="7">
        <f t="shared" si="15"/>
        <v>0</v>
      </c>
    </row>
    <row r="81" spans="11:20" x14ac:dyDescent="0.25">
      <c r="K81" s="1">
        <f t="shared" si="8"/>
        <v>0</v>
      </c>
      <c r="L81" s="1">
        <f t="shared" si="9"/>
        <v>0</v>
      </c>
      <c r="M81" s="1">
        <f t="shared" si="10"/>
        <v>0</v>
      </c>
      <c r="N81" s="1">
        <f t="shared" si="11"/>
        <v>0</v>
      </c>
      <c r="O81" s="1">
        <f t="shared" si="12"/>
        <v>0</v>
      </c>
      <c r="P81" s="1">
        <f t="shared" si="13"/>
        <v>0</v>
      </c>
      <c r="S81" s="9">
        <f t="shared" si="14"/>
        <v>1</v>
      </c>
      <c r="T81" s="7">
        <f t="shared" si="15"/>
        <v>0</v>
      </c>
    </row>
    <row r="82" spans="11:20" x14ac:dyDescent="0.25">
      <c r="K82" s="1">
        <f t="shared" si="8"/>
        <v>0</v>
      </c>
      <c r="L82" s="1">
        <f t="shared" si="9"/>
        <v>0</v>
      </c>
      <c r="M82" s="1">
        <f t="shared" si="10"/>
        <v>0</v>
      </c>
      <c r="N82" s="1">
        <f t="shared" si="11"/>
        <v>0</v>
      </c>
      <c r="O82" s="1">
        <f t="shared" si="12"/>
        <v>0</v>
      </c>
      <c r="P82" s="1">
        <f t="shared" si="13"/>
        <v>0</v>
      </c>
      <c r="S82" s="9">
        <f t="shared" si="14"/>
        <v>1</v>
      </c>
      <c r="T82" s="7">
        <f t="shared" si="15"/>
        <v>0</v>
      </c>
    </row>
    <row r="83" spans="11:20" x14ac:dyDescent="0.25">
      <c r="K83" s="1">
        <f t="shared" si="8"/>
        <v>0</v>
      </c>
      <c r="L83" s="1">
        <f t="shared" si="9"/>
        <v>0</v>
      </c>
      <c r="M83" s="1">
        <f t="shared" si="10"/>
        <v>0</v>
      </c>
      <c r="N83" s="1">
        <f t="shared" si="11"/>
        <v>0</v>
      </c>
      <c r="O83" s="1">
        <f t="shared" si="12"/>
        <v>0</v>
      </c>
      <c r="P83" s="1">
        <f t="shared" si="13"/>
        <v>0</v>
      </c>
      <c r="S83" s="9">
        <f t="shared" si="14"/>
        <v>1</v>
      </c>
      <c r="T83" s="7">
        <f t="shared" si="15"/>
        <v>0</v>
      </c>
    </row>
    <row r="84" spans="11:20" x14ac:dyDescent="0.25">
      <c r="K84" s="1">
        <f t="shared" si="8"/>
        <v>0</v>
      </c>
      <c r="L84" s="1">
        <f t="shared" si="9"/>
        <v>0</v>
      </c>
      <c r="M84" s="1">
        <f t="shared" si="10"/>
        <v>0</v>
      </c>
      <c r="N84" s="1">
        <f t="shared" si="11"/>
        <v>0</v>
      </c>
      <c r="O84" s="1">
        <f t="shared" si="12"/>
        <v>0</v>
      </c>
      <c r="P84" s="1">
        <f t="shared" si="13"/>
        <v>0</v>
      </c>
      <c r="S84" s="9">
        <f t="shared" si="14"/>
        <v>1</v>
      </c>
      <c r="T84" s="7">
        <f t="shared" si="15"/>
        <v>0</v>
      </c>
    </row>
    <row r="85" spans="11:20" x14ac:dyDescent="0.25">
      <c r="K85" s="1">
        <f t="shared" si="8"/>
        <v>0</v>
      </c>
      <c r="L85" s="1">
        <f t="shared" si="9"/>
        <v>0</v>
      </c>
      <c r="M85" s="1">
        <f t="shared" si="10"/>
        <v>0</v>
      </c>
      <c r="N85" s="1">
        <f t="shared" si="11"/>
        <v>0</v>
      </c>
      <c r="O85" s="1">
        <f t="shared" si="12"/>
        <v>0</v>
      </c>
      <c r="P85" s="1">
        <f t="shared" si="13"/>
        <v>0</v>
      </c>
      <c r="S85" s="9">
        <f t="shared" si="14"/>
        <v>1</v>
      </c>
      <c r="T85" s="7">
        <f t="shared" si="15"/>
        <v>0</v>
      </c>
    </row>
    <row r="86" spans="11:20" x14ac:dyDescent="0.25">
      <c r="K86" s="1">
        <f t="shared" si="8"/>
        <v>0</v>
      </c>
      <c r="L86" s="1">
        <f t="shared" si="9"/>
        <v>0</v>
      </c>
      <c r="M86" s="1">
        <f t="shared" si="10"/>
        <v>0</v>
      </c>
      <c r="N86" s="1">
        <f t="shared" si="11"/>
        <v>0</v>
      </c>
      <c r="O86" s="1">
        <f t="shared" si="12"/>
        <v>0</v>
      </c>
      <c r="P86" s="1">
        <f t="shared" si="13"/>
        <v>0</v>
      </c>
      <c r="S86" s="9">
        <f t="shared" si="14"/>
        <v>1</v>
      </c>
      <c r="T86" s="7">
        <f t="shared" si="15"/>
        <v>0</v>
      </c>
    </row>
    <row r="87" spans="11:20" x14ac:dyDescent="0.25">
      <c r="K87" s="1">
        <f t="shared" si="8"/>
        <v>0</v>
      </c>
      <c r="L87" s="1">
        <f t="shared" si="9"/>
        <v>0</v>
      </c>
      <c r="M87" s="1">
        <f t="shared" si="10"/>
        <v>0</v>
      </c>
      <c r="N87" s="1">
        <f t="shared" si="11"/>
        <v>0</v>
      </c>
      <c r="O87" s="1">
        <f t="shared" si="12"/>
        <v>0</v>
      </c>
      <c r="P87" s="1">
        <f t="shared" si="13"/>
        <v>0</v>
      </c>
      <c r="S87" s="9">
        <f t="shared" si="14"/>
        <v>1</v>
      </c>
      <c r="T87" s="7">
        <f t="shared" si="15"/>
        <v>0</v>
      </c>
    </row>
    <row r="88" spans="11:20" x14ac:dyDescent="0.25">
      <c r="K88" s="1">
        <f t="shared" si="8"/>
        <v>0</v>
      </c>
      <c r="L88" s="1">
        <f t="shared" si="9"/>
        <v>0</v>
      </c>
      <c r="M88" s="1">
        <f t="shared" si="10"/>
        <v>0</v>
      </c>
      <c r="N88" s="1">
        <f t="shared" si="11"/>
        <v>0</v>
      </c>
      <c r="O88" s="1">
        <f t="shared" si="12"/>
        <v>0</v>
      </c>
      <c r="P88" s="1">
        <f t="shared" si="13"/>
        <v>0</v>
      </c>
      <c r="S88" s="9">
        <f t="shared" si="14"/>
        <v>1</v>
      </c>
      <c r="T88" s="7">
        <f t="shared" si="15"/>
        <v>0</v>
      </c>
    </row>
    <row r="89" spans="11:20" x14ac:dyDescent="0.25">
      <c r="K89" s="1">
        <f t="shared" si="8"/>
        <v>0</v>
      </c>
      <c r="L89" s="1">
        <f t="shared" si="9"/>
        <v>0</v>
      </c>
      <c r="M89" s="1">
        <f t="shared" si="10"/>
        <v>0</v>
      </c>
      <c r="N89" s="1">
        <f t="shared" si="11"/>
        <v>0</v>
      </c>
      <c r="O89" s="1">
        <f t="shared" si="12"/>
        <v>0</v>
      </c>
      <c r="P89" s="1">
        <f t="shared" si="13"/>
        <v>0</v>
      </c>
      <c r="S89" s="9">
        <f t="shared" si="14"/>
        <v>1</v>
      </c>
      <c r="T89" s="7">
        <f t="shared" si="15"/>
        <v>0</v>
      </c>
    </row>
    <row r="90" spans="11:20" x14ac:dyDescent="0.25">
      <c r="K90" s="1">
        <f t="shared" si="8"/>
        <v>0</v>
      </c>
      <c r="L90" s="1">
        <f t="shared" si="9"/>
        <v>0</v>
      </c>
      <c r="M90" s="1">
        <f t="shared" si="10"/>
        <v>0</v>
      </c>
      <c r="N90" s="1">
        <f t="shared" si="11"/>
        <v>0</v>
      </c>
      <c r="O90" s="1">
        <f t="shared" si="12"/>
        <v>0</v>
      </c>
      <c r="P90" s="1">
        <f t="shared" si="13"/>
        <v>0</v>
      </c>
      <c r="S90" s="9">
        <f t="shared" si="14"/>
        <v>1</v>
      </c>
      <c r="T90" s="7">
        <f t="shared" si="15"/>
        <v>0</v>
      </c>
    </row>
    <row r="91" spans="11:20" x14ac:dyDescent="0.25">
      <c r="K91" s="1">
        <f t="shared" si="8"/>
        <v>0</v>
      </c>
      <c r="L91" s="1">
        <f t="shared" si="9"/>
        <v>0</v>
      </c>
      <c r="M91" s="1">
        <f t="shared" si="10"/>
        <v>0</v>
      </c>
      <c r="N91" s="1">
        <f t="shared" si="11"/>
        <v>0</v>
      </c>
      <c r="O91" s="1">
        <f t="shared" si="12"/>
        <v>0</v>
      </c>
      <c r="P91" s="1">
        <f t="shared" si="13"/>
        <v>0</v>
      </c>
      <c r="S91" s="9">
        <f t="shared" si="14"/>
        <v>1</v>
      </c>
      <c r="T91" s="7">
        <f t="shared" si="15"/>
        <v>0</v>
      </c>
    </row>
    <row r="92" spans="11:20" x14ac:dyDescent="0.25">
      <c r="K92" s="1">
        <f t="shared" si="8"/>
        <v>0</v>
      </c>
      <c r="L92" s="1">
        <f t="shared" si="9"/>
        <v>0</v>
      </c>
      <c r="M92" s="1">
        <f t="shared" si="10"/>
        <v>0</v>
      </c>
      <c r="N92" s="1">
        <f t="shared" si="11"/>
        <v>0</v>
      </c>
      <c r="O92" s="1">
        <f t="shared" si="12"/>
        <v>0</v>
      </c>
      <c r="P92" s="1">
        <f t="shared" si="13"/>
        <v>0</v>
      </c>
      <c r="S92" s="9">
        <f t="shared" si="14"/>
        <v>1</v>
      </c>
      <c r="T92" s="7">
        <f t="shared" si="15"/>
        <v>0</v>
      </c>
    </row>
    <row r="93" spans="11:20" x14ac:dyDescent="0.25">
      <c r="K93" s="1">
        <f t="shared" si="8"/>
        <v>0</v>
      </c>
      <c r="L93" s="1">
        <f t="shared" si="9"/>
        <v>0</v>
      </c>
      <c r="M93" s="1">
        <f t="shared" si="10"/>
        <v>0</v>
      </c>
      <c r="N93" s="1">
        <f t="shared" si="11"/>
        <v>0</v>
      </c>
      <c r="O93" s="1">
        <f t="shared" si="12"/>
        <v>0</v>
      </c>
      <c r="P93" s="1">
        <f t="shared" si="13"/>
        <v>0</v>
      </c>
      <c r="S93" s="9">
        <f t="shared" si="14"/>
        <v>1</v>
      </c>
      <c r="T93" s="7">
        <f t="shared" si="15"/>
        <v>0</v>
      </c>
    </row>
    <row r="94" spans="11:20" x14ac:dyDescent="0.25">
      <c r="K94" s="1">
        <f t="shared" si="8"/>
        <v>0</v>
      </c>
      <c r="L94" s="1">
        <f t="shared" si="9"/>
        <v>0</v>
      </c>
      <c r="M94" s="1">
        <f t="shared" si="10"/>
        <v>0</v>
      </c>
      <c r="N94" s="1">
        <f t="shared" si="11"/>
        <v>0</v>
      </c>
      <c r="O94" s="1">
        <f t="shared" si="12"/>
        <v>0</v>
      </c>
      <c r="P94" s="1">
        <f t="shared" si="13"/>
        <v>0</v>
      </c>
      <c r="S94" s="9">
        <f t="shared" si="14"/>
        <v>1</v>
      </c>
      <c r="T94" s="7">
        <f t="shared" si="15"/>
        <v>0</v>
      </c>
    </row>
    <row r="95" spans="11:20" x14ac:dyDescent="0.25">
      <c r="K95" s="1">
        <f t="shared" si="8"/>
        <v>0</v>
      </c>
      <c r="L95" s="1">
        <f t="shared" si="9"/>
        <v>0</v>
      </c>
      <c r="M95" s="1">
        <f t="shared" si="10"/>
        <v>0</v>
      </c>
      <c r="N95" s="1">
        <f t="shared" si="11"/>
        <v>0</v>
      </c>
      <c r="O95" s="1">
        <f t="shared" si="12"/>
        <v>0</v>
      </c>
      <c r="P95" s="1">
        <f t="shared" si="13"/>
        <v>0</v>
      </c>
      <c r="S95" s="9">
        <f t="shared" si="14"/>
        <v>1</v>
      </c>
      <c r="T95" s="7">
        <f t="shared" si="15"/>
        <v>0</v>
      </c>
    </row>
    <row r="96" spans="11:20" x14ac:dyDescent="0.25">
      <c r="K96" s="1">
        <f t="shared" si="8"/>
        <v>0</v>
      </c>
      <c r="L96" s="1">
        <f t="shared" si="9"/>
        <v>0</v>
      </c>
      <c r="M96" s="1">
        <f t="shared" si="10"/>
        <v>0</v>
      </c>
      <c r="N96" s="1">
        <f t="shared" si="11"/>
        <v>0</v>
      </c>
      <c r="O96" s="1">
        <f t="shared" si="12"/>
        <v>0</v>
      </c>
      <c r="P96" s="1">
        <f t="shared" si="13"/>
        <v>0</v>
      </c>
      <c r="S96" s="9">
        <f t="shared" si="14"/>
        <v>1</v>
      </c>
      <c r="T96" s="7">
        <f t="shared" si="15"/>
        <v>0</v>
      </c>
    </row>
    <row r="97" spans="11:20" x14ac:dyDescent="0.25">
      <c r="K97" s="1">
        <f t="shared" si="8"/>
        <v>0</v>
      </c>
      <c r="L97" s="1">
        <f t="shared" si="9"/>
        <v>0</v>
      </c>
      <c r="M97" s="1">
        <f t="shared" si="10"/>
        <v>0</v>
      </c>
      <c r="N97" s="1">
        <f t="shared" si="11"/>
        <v>0</v>
      </c>
      <c r="O97" s="1">
        <f t="shared" si="12"/>
        <v>0</v>
      </c>
      <c r="P97" s="1">
        <f t="shared" si="13"/>
        <v>0</v>
      </c>
      <c r="S97" s="9">
        <f t="shared" si="14"/>
        <v>1</v>
      </c>
      <c r="T97" s="7">
        <f t="shared" si="15"/>
        <v>0</v>
      </c>
    </row>
    <row r="98" spans="11:20" x14ac:dyDescent="0.25">
      <c r="K98" s="1">
        <f t="shared" si="8"/>
        <v>0</v>
      </c>
      <c r="L98" s="1">
        <f t="shared" si="9"/>
        <v>0</v>
      </c>
      <c r="M98" s="1">
        <f t="shared" si="10"/>
        <v>0</v>
      </c>
      <c r="N98" s="1">
        <f t="shared" si="11"/>
        <v>0</v>
      </c>
      <c r="O98" s="1">
        <f t="shared" si="12"/>
        <v>0</v>
      </c>
      <c r="P98" s="1">
        <f t="shared" si="13"/>
        <v>0</v>
      </c>
      <c r="S98" s="9">
        <f t="shared" si="14"/>
        <v>1</v>
      </c>
      <c r="T98" s="7">
        <f t="shared" si="15"/>
        <v>0</v>
      </c>
    </row>
    <row r="99" spans="11:20" x14ac:dyDescent="0.25">
      <c r="K99" s="1">
        <f t="shared" si="8"/>
        <v>0</v>
      </c>
      <c r="L99" s="1">
        <f t="shared" si="9"/>
        <v>0</v>
      </c>
      <c r="M99" s="1">
        <f t="shared" si="10"/>
        <v>0</v>
      </c>
      <c r="N99" s="1">
        <f t="shared" si="11"/>
        <v>0</v>
      </c>
      <c r="O99" s="1">
        <f t="shared" si="12"/>
        <v>0</v>
      </c>
      <c r="P99" s="1">
        <f t="shared" si="13"/>
        <v>0</v>
      </c>
      <c r="S99" s="9">
        <f t="shared" si="14"/>
        <v>1</v>
      </c>
      <c r="T99" s="7">
        <f t="shared" si="15"/>
        <v>0</v>
      </c>
    </row>
    <row r="100" spans="11:20" x14ac:dyDescent="0.25">
      <c r="K100" s="1">
        <f t="shared" si="8"/>
        <v>0</v>
      </c>
      <c r="L100" s="1">
        <f t="shared" si="9"/>
        <v>0</v>
      </c>
      <c r="M100" s="1">
        <f t="shared" si="10"/>
        <v>0</v>
      </c>
      <c r="N100" s="1">
        <f t="shared" si="11"/>
        <v>0</v>
      </c>
      <c r="O100" s="1">
        <f t="shared" si="12"/>
        <v>0</v>
      </c>
      <c r="P100" s="1">
        <f t="shared" si="13"/>
        <v>0</v>
      </c>
      <c r="S100" s="9">
        <f t="shared" si="14"/>
        <v>1</v>
      </c>
      <c r="T100" s="7">
        <f t="shared" si="15"/>
        <v>0</v>
      </c>
    </row>
    <row r="101" spans="11:20" x14ac:dyDescent="0.25">
      <c r="K101" s="1">
        <f t="shared" si="8"/>
        <v>0</v>
      </c>
      <c r="L101" s="1">
        <f t="shared" si="9"/>
        <v>0</v>
      </c>
      <c r="M101" s="1">
        <f t="shared" si="10"/>
        <v>0</v>
      </c>
      <c r="N101" s="1">
        <f t="shared" si="11"/>
        <v>0</v>
      </c>
      <c r="O101" s="1">
        <f t="shared" si="12"/>
        <v>0</v>
      </c>
      <c r="P101" s="1">
        <f t="shared" si="13"/>
        <v>0</v>
      </c>
      <c r="S101" s="9">
        <f t="shared" si="14"/>
        <v>1</v>
      </c>
      <c r="T101" s="7">
        <f t="shared" si="15"/>
        <v>0</v>
      </c>
    </row>
    <row r="102" spans="11:20" x14ac:dyDescent="0.25">
      <c r="K102" s="1">
        <f t="shared" si="8"/>
        <v>0</v>
      </c>
      <c r="L102" s="1">
        <f t="shared" si="9"/>
        <v>0</v>
      </c>
      <c r="M102" s="1">
        <f t="shared" si="10"/>
        <v>0</v>
      </c>
      <c r="N102" s="1">
        <f t="shared" si="11"/>
        <v>0</v>
      </c>
      <c r="O102" s="1">
        <f t="shared" si="12"/>
        <v>0</v>
      </c>
      <c r="P102" s="1">
        <f t="shared" si="13"/>
        <v>0</v>
      </c>
      <c r="S102" s="9">
        <f t="shared" si="14"/>
        <v>1</v>
      </c>
      <c r="T102" s="7">
        <f t="shared" si="15"/>
        <v>0</v>
      </c>
    </row>
    <row r="103" spans="11:20" x14ac:dyDescent="0.25">
      <c r="K103" s="1">
        <f t="shared" si="8"/>
        <v>0</v>
      </c>
      <c r="L103" s="1">
        <f t="shared" si="9"/>
        <v>0</v>
      </c>
      <c r="M103" s="1">
        <f t="shared" si="10"/>
        <v>0</v>
      </c>
      <c r="N103" s="1">
        <f t="shared" si="11"/>
        <v>0</v>
      </c>
      <c r="O103" s="1">
        <f t="shared" si="12"/>
        <v>0</v>
      </c>
      <c r="P103" s="1">
        <f t="shared" si="13"/>
        <v>0</v>
      </c>
      <c r="S103" s="9">
        <f t="shared" si="14"/>
        <v>1</v>
      </c>
      <c r="T103" s="7">
        <f t="shared" si="15"/>
        <v>0</v>
      </c>
    </row>
  </sheetData>
  <mergeCells count="12">
    <mergeCell ref="S1:T1"/>
    <mergeCell ref="Q1:Q2"/>
    <mergeCell ref="R1:R2"/>
    <mergeCell ref="K1:P1"/>
    <mergeCell ref="F1:G1"/>
    <mergeCell ref="J1:J2"/>
    <mergeCell ref="A1:A2"/>
    <mergeCell ref="B1:B2"/>
    <mergeCell ref="C1:C2"/>
    <mergeCell ref="D1:D2"/>
    <mergeCell ref="E1:E2"/>
    <mergeCell ref="H1:I1"/>
  </mergeCells>
  <conditionalFormatting sqref="K4:N103 P4:P103">
    <cfRule type="iconSet" priority="2">
      <iconSet showValue="0">
        <cfvo type="percent" val="0"/>
        <cfvo type="num" val="0"/>
        <cfvo type="num" val="1"/>
      </iconSet>
    </cfRule>
  </conditionalFormatting>
  <conditionalFormatting sqref="K3:P3">
    <cfRule type="iconSet" priority="4">
      <iconSet showValue="0">
        <cfvo type="percent" val="0"/>
        <cfvo type="num" val="0"/>
        <cfvo type="num" val="1"/>
      </iconSet>
    </cfRule>
  </conditionalFormatting>
  <conditionalFormatting sqref="O4:O103">
    <cfRule type="iconSet" priority="1">
      <iconSet showValue="0">
        <cfvo type="percent" val="0"/>
        <cfvo type="num" val="0"/>
        <cfvo type="num" val="1"/>
      </iconSet>
    </cfRule>
  </conditionalFormatting>
  <conditionalFormatting sqref="S3:S103">
    <cfRule type="dataBar" priority="6">
      <dataBar>
        <cfvo type="formula" val="0"/>
        <cfvo type="formula" val="1"/>
        <color rgb="FFFF0000"/>
      </dataBar>
      <extLst>
        <ext xmlns:x14="http://schemas.microsoft.com/office/spreadsheetml/2009/9/main" uri="{B025F937-C7B1-47D3-B67F-A62EFF666E3E}">
          <x14:id>{5E855D35-7B07-41E9-AE7F-67FF0BD5D3B5}</x14:id>
        </ext>
      </extLst>
    </cfRule>
  </conditionalFormatting>
  <conditionalFormatting sqref="T3:T103">
    <cfRule type="dataBar" priority="7">
      <dataBar>
        <cfvo type="formula" val="0"/>
        <cfvo type="formula" val="1"/>
        <color rgb="FF92D050"/>
      </dataBar>
      <extLst>
        <ext xmlns:x14="http://schemas.microsoft.com/office/spreadsheetml/2009/9/main" uri="{B025F937-C7B1-47D3-B67F-A62EFF666E3E}">
          <x14:id>{479631DA-6C9C-4BFB-B5EA-D9DD63EAAC02}</x14:id>
        </ext>
      </extLst>
    </cfRule>
  </conditionalFormatting>
  <dataValidations count="1">
    <dataValidation type="list" allowBlank="1" showInputMessage="1" showErrorMessage="1" sqref="J3:J1048576" xr:uid="{4EDA86E1-1ECA-4354-AAB1-6505A2548CC2}">
      <formula1>$XFC$1:$XFC$15</formula1>
    </dataValidation>
  </dataValidations>
  <pageMargins left="0.7" right="0.7" top="0.75" bottom="0.75" header="0.3" footer="0.3"/>
  <headerFooter>
    <oddFooter>&amp;L_x000D_&amp;1#&amp;"Aptos"&amp;10&amp;K000000 Classification: Internal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855D35-7B07-41E9-AE7F-67FF0BD5D3B5}">
            <x14:dataBar minLength="0" maxLength="100" gradient="0" direction="rightToLef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S3:S103</xm:sqref>
        </x14:conditionalFormatting>
        <x14:conditionalFormatting xmlns:xm="http://schemas.microsoft.com/office/excel/2006/main">
          <x14:cfRule type="dataBar" id="{479631DA-6C9C-4BFB-B5EA-D9DD63EAAC02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T3:T103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ultsValidation xmlns="014e9916-f59d-4fde-bde9-e14d5be657e0" xsi:nil="true"/>
    <Functional xmlns="014e9916-f59d-4fde-bde9-e14d5be657e0" xsi:nil="true"/>
    <_Flow_SignoffStatus xmlns="014e9916-f59d-4fde-bde9-e14d5be657e0" xsi:nil="true"/>
    <E2ESuccessfullyCompleted xmlns="014e9916-f59d-4fde-bde9-e14d5be657e0">NO</E2ESuccessfullyCompleted>
    <AhaR2_x002e_1Feature_x0028_s_x0029_ xmlns="014e9916-f59d-4fde-bde9-e14d5be657e0" xsi:nil="true"/>
    <lcf76f155ced4ddcb4097134ff3c332f xmlns="014e9916-f59d-4fde-bde9-e14d5be657e0">
      <Terms xmlns="http://schemas.microsoft.com/office/infopath/2007/PartnerControls"/>
    </lcf76f155ced4ddcb4097134ff3c332f>
    <TaxCatchAll xmlns="39bdfaf4-23d1-4468-97ad-cb94bbda5cc1" xsi:nil="true"/>
    <FPOComments xmlns="014e9916-f59d-4fde-bde9-e14d5be657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BB1391C64B0440A61832720C1832D4" ma:contentTypeVersion="25" ma:contentTypeDescription="Create a new document." ma:contentTypeScope="" ma:versionID="9fab1777b9f1f50138ea88ab82287c93">
  <xsd:schema xmlns:xsd="http://www.w3.org/2001/XMLSchema" xmlns:xs="http://www.w3.org/2001/XMLSchema" xmlns:p="http://schemas.microsoft.com/office/2006/metadata/properties" xmlns:ns2="014e9916-f59d-4fde-bde9-e14d5be657e0" xmlns:ns3="39bdfaf4-23d1-4468-97ad-cb94bbda5cc1" targetNamespace="http://schemas.microsoft.com/office/2006/metadata/properties" ma:root="true" ma:fieldsID="142197e3c212e129cb2275011f7aeadd" ns2:_="" ns3:_="">
    <xsd:import namespace="014e9916-f59d-4fde-bde9-e14d5be657e0"/>
    <xsd:import namespace="39bdfaf4-23d1-4468-97ad-cb94bbda5c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2ESuccessfullyCompleted" minOccurs="0"/>
                <xsd:element ref="ns2:ResultsValidation" minOccurs="0"/>
                <xsd:element ref="ns2:AhaR2_x002e_1Feature_x0028_s_x0029_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FPOComments" minOccurs="0"/>
                <xsd:element ref="ns2:_Flow_SignoffStatus" minOccurs="0"/>
                <xsd:element ref="ns2:Functiona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4e9916-f59d-4fde-bde9-e14d5be657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2ESuccessfullyCompleted" ma:index="20" nillable="true" ma:displayName="E2E Successfully Completed" ma:default="NO" ma:format="Dropdown" ma:internalName="E2ESuccessfullyCompleted">
      <xsd:simpleType>
        <xsd:restriction base="dms:Choice">
          <xsd:enumeration value="YES"/>
          <xsd:enumeration value="NO"/>
        </xsd:restriction>
      </xsd:simpleType>
    </xsd:element>
    <xsd:element name="ResultsValidation" ma:index="21" nillable="true" ma:displayName="Results Validation" ma:format="Dropdown" ma:internalName="ResultsValidation">
      <xsd:simpleType>
        <xsd:restriction base="dms:Choice">
          <xsd:enumeration value="In Progress"/>
          <xsd:enumeration value="Sent to Be Reviewed by FPO and/or PPO"/>
          <xsd:enumeration value="Results Reviewed and Rejected"/>
          <xsd:enumeration value="Results Reviewed and Accepted"/>
        </xsd:restriction>
      </xsd:simpleType>
    </xsd:element>
    <xsd:element name="AhaR2_x002e_1Feature_x0028_s_x0029_" ma:index="22" nillable="true" ma:displayName="Aha R 2.1 Feature(s)" ma:format="Dropdown" ma:internalName="AhaR2_x002e_1Feature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AP-218  -  LTA - set up DK on SAP TM"/>
                    <xsd:enumeration value="SAP-219  -  OTC - set up DK on SAP TM"/>
                    <xsd:enumeration value="SAP-220  -  SD - set up DK on SAP TM"/>
                    <xsd:enumeration value="SAP-221  -  PTP - set up DK on SAP TM"/>
                    <xsd:enumeration value="SAP-222  -  ATR - set up DK on SAP TM"/>
                    <xsd:enumeration value="SAP-223  -  LTA - set up NO on SAP TM"/>
                    <xsd:enumeration value="SAP-224  -  OTC - set up NO on SAP TM"/>
                    <xsd:enumeration value="SAP-225  -  SD - set up NO on SAP TM"/>
                    <xsd:enumeration value="SAP-226  -  PTP - set up NO on SAP TM"/>
                    <xsd:enumeration value="SAP-227  -  ATR - set up NO on SAP TM"/>
                    <xsd:enumeration value="SAP-229  -  OTC - set up SE on SAP TM"/>
                    <xsd:enumeration value="SAP-230  -  SD - set up SE on SAP TM"/>
                    <xsd:enumeration value="SAP-231  -  PTP - set up SE on SAP TM"/>
                    <xsd:enumeration value="SAP-232  -  ATR - set up SE on SAP TM"/>
                    <xsd:enumeration value="SAP-78  -  Rail/Road"/>
                    <xsd:enumeration value="SAP-26  -  Cross Border Basics for one vendor order E2E"/>
                    <xsd:enumeration value="SAP-186  -  Depot &amp; Trip type additional features"/>
                    <xsd:enumeration value="SAP-166  -  Vendor selection based on VAS"/>
                    <xsd:enumeration value="SAP-204  -  Amendments - Descoped from SAP -103"/>
                    <xsd:enumeration value="SAP-93  -  rail as mode of transport"/>
                    <xsd:enumeration value="SAP-88  -  EDI IFTMIN enhancements"/>
                    <xsd:enumeration value="SAP-28  -  de-coupling"/>
                    <xsd:enumeration value="SAP-33  -  Drop &amp; swap basic"/>
                    <xsd:enumeration value="SAP-151  -  Fuel Charge"/>
                    <xsd:enumeration value="SAP-29  -  Special chassis (incl. side loader)"/>
                    <xsd:enumeration value="SAP-57  -  Notification of the re-load moves for Triangulation + Drop &amp; Swap scenario"/>
                    <xsd:enumeration value="SAP-108  -  NFTP dependencies - Sealand"/>
                    <xsd:enumeration value="SAP-58  -  Drop and Swap scenario: Assign container number to each container unit"/>
                    <xsd:enumeration value="SAP-71  -  remove limitation of 999 line items in the AP invoice (accounting document)"/>
                    <xsd:enumeration value="SAP-13  -  additional fields on FRO worklist (priority 2)"/>
                    <xsd:enumeration value="SAP-62  -  additional fields for Transportation Cockpit"/>
                    <xsd:enumeration value="SAP-3  -  COPARN (empty release/acceptance instruction) EDI - this needs to start development EARLY in Q1 due to EDI dependency"/>
                    <xsd:enumeration value="SAP-21  -  Re-pooling order"/>
                    <xsd:enumeration value="SAP-24  -  Show inbound vessel details for import and outbound vessel details for export in forms"/>
                    <xsd:enumeration value="SAP-149  -  Changes to Common Data Model (CMD) to support twinning/drop&amp;swap/blocktrain"/>
                    <xsd:enumeration value="SAP-195  -  show consumed train capacity"/>
                    <xsd:enumeration value="SAP-251  -  Automated FRO report per vendor for Invoice alignment"/>
                    <xsd:enumeration value="SAP-19  -  Twinning and tandem (basic)"/>
                    <xsd:enumeration value="SAP-107  -  Enhance Coupa Interface to allow for new countries"/>
                    <xsd:enumeration value="SAP-208  -  name of the person triggering FRO should be displayed on the form"/>
                    <xsd:enumeration value="SAP-116  -  mass delivery failure or faster delivery failure handling"/>
                    <xsd:enumeration value="SAP-295  -  expected event at unexpected location (return after import)"/>
                    <xsd:enumeration value="SAP-323  -  Ability to process two haulage orders (interim and regular haulage order) for one Import"/>
                    <xsd:enumeration value="SAP-321  -  Allocate IMO Class 1 DG to manual planning"/>
                    <xsd:enumeration value="SAP-327  -  LTA - set up SE on SAP TM"/>
                    <xsd:enumeration value="SAP-340  -  Pseudo - RCO ( Rail information not relevant for planning or tracking )"/>
                    <xsd:enumeration value="SAP-334  -  Interface enablement - Scandinavia"/>
                    <xsd:enumeration value="SAP-357  -  Tolls Scandinavia"/>
                    <xsd:enumeration value="SAP-356  -  Sweden Local Rates in Gothenburg"/>
                    <xsd:enumeration value="SAP-354  -  Approval flow for charges - Placeholder"/>
                    <xsd:enumeration value="SAP-355  -  Workflow for high value invoice and stochastic block. - Placeholder"/>
                    <xsd:enumeration value="SAP-359  -  Tipper trailer charge"/>
                    <xsd:enumeration value="SAP-385  -  Charges: Rebates"/>
                    <xsd:enumeration value="SAP-389  -  Charges: Genset"/>
                    <xsd:enumeration value="SAP-390  -  Manual charges"/>
                    <xsd:enumeration value="SAP-391  -  Charges: Futile trip and cancellation"/>
                    <xsd:enumeration value="SAP-393  -  Charges: Decoupling"/>
                    <xsd:enumeration value="SAP-337  -  Create FSD for the consumed capacity report"/>
                    <xsd:enumeration value="SAP-338  -  Technical build of the Consumed capacity report"/>
                    <xsd:enumeration value="SAP-356  -  All the forms from FRO should display the dispatcher name (user who send it to vendor) instead of the created_by name in Dispatcher name, email and phone fields"/>
                    <xsd:enumeration value="SAP-185  -  repositioning COPARN"/>
                    <xsd:enumeration value="SAP-36  -  Propagate Ocean Carrier into FRO worklist &amp; outgoing communication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POComments" ma:index="28" nillable="true" ma:displayName="FPO Comments" ma:format="Dropdown" ma:internalName="FPOComments">
      <xsd:simpleType>
        <xsd:restriction base="dms:Note">
          <xsd:maxLength value="255"/>
        </xsd:restriction>
      </xsd:simpleType>
    </xsd:element>
    <xsd:element name="_Flow_SignoffStatus" ma:index="29" nillable="true" ma:displayName="Sign-off status" ma:internalName="Sign_x002d_off_x0020_status">
      <xsd:simpleType>
        <xsd:restriction base="dms:Text"/>
      </xsd:simpleType>
    </xsd:element>
    <xsd:element name="Functional" ma:index="30" nillable="true" ma:displayName="Functional" ma:format="Dropdown" ma:internalName="Functional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dfaf4-23d1-4468-97ad-cb94bbda5cc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22f05866-53bb-406a-9e56-ed4e1322922a}" ma:internalName="TaxCatchAll" ma:showField="CatchAllData" ma:web="39bdfaf4-23d1-4468-97ad-cb94bbda5c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0101FF-2853-40D8-A11E-128965CDE8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F5B241-1A9F-4CE7-8B73-F4CE2346E8C8}">
  <ds:schemaRefs>
    <ds:schemaRef ds:uri="http://schemas.microsoft.com/office/2006/metadata/properties"/>
    <ds:schemaRef ds:uri="http://schemas.microsoft.com/office/infopath/2007/PartnerControls"/>
    <ds:schemaRef ds:uri="014e9916-f59d-4fde-bde9-e14d5be657e0"/>
    <ds:schemaRef ds:uri="39bdfaf4-23d1-4468-97ad-cb94bbda5cc1"/>
  </ds:schemaRefs>
</ds:datastoreItem>
</file>

<file path=customXml/itemProps3.xml><?xml version="1.0" encoding="utf-8"?>
<ds:datastoreItem xmlns:ds="http://schemas.openxmlformats.org/officeDocument/2006/customXml" ds:itemID="{4E86B170-3B71-4476-B02B-EC72EFA1C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4e9916-f59d-4fde-bde9-e14d5be657e0"/>
    <ds:schemaRef ds:uri="39bdfaf4-23d1-4468-97ad-cb94bbda5c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XXX Minor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 Royen</dc:creator>
  <cp:keywords/>
  <dc:description/>
  <cp:lastModifiedBy>Gokulakrishnan Sridharan</cp:lastModifiedBy>
  <cp:revision/>
  <dcterms:created xsi:type="dcterms:W3CDTF">2025-12-12T14:05:14Z</dcterms:created>
  <dcterms:modified xsi:type="dcterms:W3CDTF">2026-01-02T05:52:09Z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2025-12-12T14:18:07Z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b1542141-78b6-4a7a-94a8-e28534991c80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0x0101008EBB1391C64B0440A61832720C1832D4</vt:lpwstr>
  </property>
</Properties>
</file>